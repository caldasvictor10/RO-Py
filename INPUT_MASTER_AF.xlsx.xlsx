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R:\2 - Gestão de Matérias Primas\16 - ORÇAMENTO\26 PEA - Orçamento 26-27\METÁLICOS REDUÇÃO\LEITOS\TESTE\"/>
    </mc:Choice>
  </mc:AlternateContent>
  <xr:revisionPtr revIDLastSave="0" documentId="13_ncr:1_{A2457F5E-E0A0-4A75-93D3-53CBC165BEEF}" xr6:coauthVersionLast="47" xr6:coauthVersionMax="47" xr10:uidLastSave="{00000000-0000-0000-0000-000000000000}"/>
  <bookViews>
    <workbookView xWindow="-28920" yWindow="-120" windowWidth="29040" windowHeight="15720" xr2:uid="{8677F807-8A10-4D67-84FB-4B757EB91126}"/>
  </bookViews>
  <sheets>
    <sheet name="MATERIAS_PRIMAS" sheetId="2" r:id="rId1"/>
    <sheet name="PERFORMANCE" sheetId="9" r:id="rId2"/>
    <sheet name="PROCESSO_MS" sheetId="3" r:id="rId3"/>
    <sheet name="PROCESSO_AF" sheetId="6" r:id="rId4"/>
    <sheet name="KPIS_MS" sheetId="4" r:id="rId5"/>
    <sheet name="KPIS_AF" sheetId="7" r:id="rId6"/>
    <sheet name="ALFAS_GUSA_AF" sheetId="8" r:id="rId7"/>
    <sheet name="CALIBRACA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B6" i="9"/>
  <c r="D13" i="6" l="1"/>
  <c r="F13" i="6"/>
  <c r="E19" i="2"/>
  <c r="D19" i="2" s="1"/>
  <c r="E18" i="2"/>
  <c r="D18" i="2" s="1"/>
  <c r="W26" i="2"/>
  <c r="D22" i="2" l="1"/>
  <c r="B30" i="3" l="1"/>
  <c r="F5" i="9" l="1"/>
  <c r="E5" i="9"/>
  <c r="D6" i="9"/>
  <c r="C6" i="9"/>
  <c r="F3" i="9"/>
  <c r="E3" i="9"/>
  <c r="D4" i="9"/>
  <c r="C2" i="3" s="1"/>
  <c r="C4" i="9"/>
  <c r="B4" i="9"/>
  <c r="F6" i="9" l="1"/>
  <c r="E6" i="9"/>
  <c r="F4" i="9"/>
  <c r="F2" i="9"/>
  <c r="E2" i="9"/>
  <c r="E4" i="9"/>
  <c r="B2" i="3" s="1"/>
  <c r="F7" i="9" l="1"/>
  <c r="F8" i="9" s="1"/>
  <c r="F11" i="9" s="1"/>
  <c r="F12" i="9" l="1"/>
  <c r="C22" i="3"/>
  <c r="B22" i="3"/>
  <c r="D11" i="6" l="1"/>
  <c r="C11" i="6"/>
  <c r="P49" i="2"/>
  <c r="O49" i="2"/>
  <c r="P48" i="2"/>
  <c r="P47" i="2"/>
  <c r="O48" i="2"/>
  <c r="O47" i="2"/>
  <c r="D27" i="3"/>
  <c r="C23" i="3"/>
  <c r="B23" i="3"/>
  <c r="E31" i="2" s="1"/>
  <c r="D2" i="3"/>
  <c r="E16" i="2" s="1"/>
  <c r="E34" i="2" l="1"/>
  <c r="E33" i="2"/>
  <c r="D21" i="3"/>
  <c r="D15" i="3"/>
  <c r="D30" i="3"/>
  <c r="D22" i="3"/>
  <c r="E14" i="2" s="1"/>
  <c r="E26" i="2"/>
  <c r="D26" i="2" s="1"/>
  <c r="D16" i="2"/>
  <c r="D16" i="3"/>
  <c r="C24" i="3"/>
  <c r="E32" i="2"/>
  <c r="D23" i="3"/>
  <c r="D29" i="3" s="1"/>
  <c r="B24" i="3"/>
  <c r="D20" i="3"/>
  <c r="D5" i="3"/>
  <c r="D18" i="3"/>
  <c r="D8" i="3"/>
  <c r="D12" i="3"/>
  <c r="D4" i="3"/>
  <c r="D17" i="3"/>
  <c r="D6" i="3"/>
  <c r="D11" i="3"/>
  <c r="D3" i="3"/>
  <c r="D19" i="3"/>
  <c r="D10" i="3"/>
  <c r="D7" i="3"/>
  <c r="D9" i="3"/>
  <c r="D24" i="3" l="1"/>
</calcChain>
</file>

<file path=xl/sharedStrings.xml><?xml version="1.0" encoding="utf-8"?>
<sst xmlns="http://schemas.openxmlformats.org/spreadsheetml/2006/main" count="430" uniqueCount="216">
  <si>
    <t>CaO</t>
  </si>
  <si>
    <t>SiO2</t>
  </si>
  <si>
    <t>MgO</t>
  </si>
  <si>
    <t>Mn</t>
  </si>
  <si>
    <t>AL2O3</t>
  </si>
  <si>
    <t>P</t>
  </si>
  <si>
    <t>FeT</t>
  </si>
  <si>
    <t>C</t>
  </si>
  <si>
    <t>PPC</t>
  </si>
  <si>
    <t>&gt;1,00</t>
  </si>
  <si>
    <t>&lt;0,105</t>
  </si>
  <si>
    <t>FUNDENTES</t>
  </si>
  <si>
    <t>SF MUSA</t>
  </si>
  <si>
    <t>PF MUSA</t>
  </si>
  <si>
    <t>SF V&amp;M</t>
  </si>
  <si>
    <t>SF MSL</t>
  </si>
  <si>
    <t>SF BEMISA</t>
  </si>
  <si>
    <t>SF HERCULANO</t>
  </si>
  <si>
    <t>SF VALE</t>
  </si>
  <si>
    <t>SF GSM</t>
  </si>
  <si>
    <t>Sinter Fino</t>
  </si>
  <si>
    <t>Carepa</t>
  </si>
  <si>
    <t>Reciclado Industrial</t>
  </si>
  <si>
    <t xml:space="preserve">Cal Fina </t>
  </si>
  <si>
    <t>Dolomita</t>
  </si>
  <si>
    <t>Lama de Dolomita Calcinada</t>
  </si>
  <si>
    <t>Magnesiano</t>
  </si>
  <si>
    <t>Cal Fina Interna</t>
  </si>
  <si>
    <t>Coque Fino</t>
  </si>
  <si>
    <t>Moinha</t>
  </si>
  <si>
    <t>&gt;6,35</t>
  </si>
  <si>
    <t>MP</t>
  </si>
  <si>
    <t>DISP MIN</t>
  </si>
  <si>
    <t>DISP MAX</t>
  </si>
  <si>
    <t>UMIDADE</t>
  </si>
  <si>
    <t>MN NOGUEIRA DUARTE</t>
  </si>
  <si>
    <t xml:space="preserve">Po Desp. Dolomita </t>
  </si>
  <si>
    <t>Sucata tipo D</t>
  </si>
  <si>
    <t>Po de Coletor de AF</t>
  </si>
  <si>
    <t>Po de Sinter</t>
  </si>
  <si>
    <t>Calcario</t>
  </si>
  <si>
    <t>Po de Despoeiramento Coque</t>
  </si>
  <si>
    <t>PRECO_CIF_BU</t>
  </si>
  <si>
    <t>RECICLADO</t>
  </si>
  <si>
    <t>TIPO</t>
  </si>
  <si>
    <t>PARAMETRO</t>
  </si>
  <si>
    <t>MS1e2</t>
  </si>
  <si>
    <t>MS3</t>
  </si>
  <si>
    <t>UNIDADE</t>
  </si>
  <si>
    <t>PROD_FIXA</t>
  </si>
  <si>
    <t>t bsr</t>
  </si>
  <si>
    <t>FET_MIN</t>
  </si>
  <si>
    <t>%</t>
  </si>
  <si>
    <t>MN_MIN</t>
  </si>
  <si>
    <t>P_MAX</t>
  </si>
  <si>
    <t>B2_MIN</t>
  </si>
  <si>
    <t>B2_MAX</t>
  </si>
  <si>
    <t>MGO_MIN</t>
  </si>
  <si>
    <t>MGO_MAX</t>
  </si>
  <si>
    <t>RN_MIN</t>
  </si>
  <si>
    <t>RN_MAX</t>
  </si>
  <si>
    <t>FRAC_GT1_MIN</t>
  </si>
  <si>
    <t>CAREPA_MAX_KG_T</t>
  </si>
  <si>
    <t>PROP_TOL</t>
  </si>
  <si>
    <t>LIM_MUSA_BEMISA</t>
  </si>
  <si>
    <t>LIM_BEMISA</t>
  </si>
  <si>
    <t>kg/t</t>
  </si>
  <si>
    <t>KPI</t>
  </si>
  <si>
    <t>GLOBAL</t>
  </si>
  <si>
    <t>B2</t>
  </si>
  <si>
    <t>RN</t>
  </si>
  <si>
    <t>KG/T B.S. – MS1E2</t>
  </si>
  <si>
    <t>CONSUMO B.S. – MS1E2 (T)</t>
  </si>
  <si>
    <t>KG/T B.S. – MS3</t>
  </si>
  <si>
    <t>CONSUMO B.S. – MS3 (T)</t>
  </si>
  <si>
    <t>CONSUMO TOTAL B.U. – MS1E2 + MS3 (T)</t>
  </si>
  <si>
    <t>FET</t>
  </si>
  <si>
    <t>SIO2</t>
  </si>
  <si>
    <t>MGO</t>
  </si>
  <si>
    <t>MN</t>
  </si>
  <si>
    <t>&gt;1MM</t>
  </si>
  <si>
    <t>&gt;6.3MM</t>
  </si>
  <si>
    <t>&lt;0.105MM</t>
  </si>
  <si>
    <t>PROD_BSR</t>
  </si>
  <si>
    <t>CUSTO_SINTER</t>
  </si>
  <si>
    <t>CAO</t>
  </si>
  <si>
    <t>FERRO PURO</t>
  </si>
  <si>
    <t>GSM BUFALOS</t>
  </si>
  <si>
    <t>NPO</t>
  </si>
  <si>
    <t>HERCULANO</t>
  </si>
  <si>
    <t>MSL</t>
  </si>
  <si>
    <t>VALLOUREC</t>
  </si>
  <si>
    <t>VALE AF08</t>
  </si>
  <si>
    <t>PELOTA</t>
  </si>
  <si>
    <t>SINTER</t>
  </si>
  <si>
    <t>AF2</t>
  </si>
  <si>
    <t>AF3</t>
  </si>
  <si>
    <t>GUSA</t>
  </si>
  <si>
    <t>ESCORIA</t>
  </si>
  <si>
    <t>B3_MIN</t>
  </si>
  <si>
    <t>B3_MAX</t>
  </si>
  <si>
    <t>QZ_MAX</t>
  </si>
  <si>
    <t>PAM_CM</t>
  </si>
  <si>
    <t>SLAG_RATE</t>
  </si>
  <si>
    <t>CARGA</t>
  </si>
  <si>
    <t>NPO_MAX</t>
  </si>
  <si>
    <t>PROD_GUSA</t>
  </si>
  <si>
    <t>SI</t>
  </si>
  <si>
    <t>B3</t>
  </si>
  <si>
    <t>PROCESSO</t>
  </si>
  <si>
    <t>CUSTO_GUSA</t>
  </si>
  <si>
    <t>KG/T B.S. – AF2</t>
  </si>
  <si>
    <t>KG/T B.S. – AF3</t>
  </si>
  <si>
    <t>CONSUMO B.S. – AF2 (T)</t>
  </si>
  <si>
    <t>CONSUMO B.S. – AF3 (T)</t>
  </si>
  <si>
    <t>CONSUMO TOTAL B.U. – AF2 + AF3 (T)</t>
  </si>
  <si>
    <t>ELEMENTO</t>
  </si>
  <si>
    <t>OXIDO_ENTRADA</t>
  </si>
  <si>
    <t>METAL_GUSA</t>
  </si>
  <si>
    <t>FATOR_MASSA</t>
  </si>
  <si>
    <t>Fe</t>
  </si>
  <si>
    <t>Fe2O3</t>
  </si>
  <si>
    <t>Si</t>
  </si>
  <si>
    <t>MnO</t>
  </si>
  <si>
    <t>P2O5</t>
  </si>
  <si>
    <t>Al</t>
  </si>
  <si>
    <t>Al2O3</t>
  </si>
  <si>
    <t>—</t>
  </si>
  <si>
    <t>Ca</t>
  </si>
  <si>
    <t>Mg</t>
  </si>
  <si>
    <t>ALFA_REDUCAO_AF2</t>
  </si>
  <si>
    <t>ALFA_REDUCAO_AF3</t>
  </si>
  <si>
    <t>&lt;10,00</t>
  </si>
  <si>
    <t>APLICACAO</t>
  </si>
  <si>
    <t>MS</t>
  </si>
  <si>
    <t>AF</t>
  </si>
  <si>
    <t>RENDIMENTO_SINTER</t>
  </si>
  <si>
    <t>ESTOQUE_PP_INICIAL</t>
  </si>
  <si>
    <t>ESTOQUE_PP_FINAL</t>
  </si>
  <si>
    <t>DELTA_ESTOQUE</t>
  </si>
  <si>
    <t>PRODUCAO_SINTER_AF</t>
  </si>
  <si>
    <t>GERACAO_SINTER_FINO</t>
  </si>
  <si>
    <t>SINTER_AF_EF</t>
  </si>
  <si>
    <t>COQUE PROPRIO</t>
  </si>
  <si>
    <t>COQUE IMPORTADO</t>
  </si>
  <si>
    <t>PCI</t>
  </si>
  <si>
    <t>S</t>
  </si>
  <si>
    <t>TiO2</t>
  </si>
  <si>
    <t>QZ_MIN</t>
  </si>
  <si>
    <t>MS1E2</t>
  </si>
  <si>
    <t>BRIQUETE</t>
  </si>
  <si>
    <t>QUARTZO</t>
  </si>
  <si>
    <t>FUEL_RATE</t>
  </si>
  <si>
    <t>COQUE_RATE</t>
  </si>
  <si>
    <t>PCI_RATE</t>
  </si>
  <si>
    <t>CARBONOSO_COQUE</t>
  </si>
  <si>
    <t>CARBONOSO_PCI</t>
  </si>
  <si>
    <t>Coque Fino Adq</t>
  </si>
  <si>
    <t>CARGA_ENERGETICA</t>
  </si>
  <si>
    <t>MINERIO</t>
  </si>
  <si>
    <t>SLAG_RATE_MAX</t>
  </si>
  <si>
    <t>SLAG_RATE_TARGET</t>
  </si>
  <si>
    <t>PELOTA_MIN</t>
  </si>
  <si>
    <t>SINTER_MAX</t>
  </si>
  <si>
    <t>VALE AF40</t>
  </si>
  <si>
    <t>VALE</t>
  </si>
  <si>
    <t>FATOR_OXIDOS</t>
  </si>
  <si>
    <t>CAL_FINA</t>
  </si>
  <si>
    <t>Ritmo AF3 (t/d)</t>
  </si>
  <si>
    <t>Slag AF3 (t/d)</t>
  </si>
  <si>
    <t>Finos de NPO</t>
  </si>
  <si>
    <t>PROD_TARGET</t>
  </si>
  <si>
    <t>CUSTO_OP_VAR_MS</t>
  </si>
  <si>
    <t>CUSTO_OP_VAR_AF</t>
  </si>
  <si>
    <t>US$/t</t>
  </si>
  <si>
    <t>PERDA_FISICA</t>
  </si>
  <si>
    <t>MS1</t>
  </si>
  <si>
    <t>MS2</t>
  </si>
  <si>
    <t>IUT</t>
  </si>
  <si>
    <t>PRODUTIVIDADE</t>
  </si>
  <si>
    <t>PRODUCAO</t>
  </si>
  <si>
    <t>DIAS</t>
  </si>
  <si>
    <t>HS_PARADA</t>
  </si>
  <si>
    <t>SINTER_PATIO</t>
  </si>
  <si>
    <t>PARTICIPACAO_PATIO</t>
  </si>
  <si>
    <t>PARTICIPACAO_DIRETO</t>
  </si>
  <si>
    <t>REND_PATIO</t>
  </si>
  <si>
    <t>REND_DIRETO</t>
  </si>
  <si>
    <t>PAM_SINTER</t>
  </si>
  <si>
    <t>HIGRO</t>
  </si>
  <si>
    <t>HIGRO_LIM_CHUVA</t>
  </si>
  <si>
    <t>HIGRO_LIM_SECA</t>
  </si>
  <si>
    <t>PERIODO</t>
  </si>
  <si>
    <t>CHUVA</t>
  </si>
  <si>
    <t>t b.u</t>
  </si>
  <si>
    <t>PENAL_FINOS_FET</t>
  </si>
  <si>
    <t>fração</t>
  </si>
  <si>
    <t>PENAL_FINOS_SIO2</t>
  </si>
  <si>
    <t>PENAL_FINOS_CAO</t>
  </si>
  <si>
    <t>PENAL_FINOS_MGO</t>
  </si>
  <si>
    <t>PENAL_FINOS_AL2O3</t>
  </si>
  <si>
    <t>PENAL_FINOS_MN</t>
  </si>
  <si>
    <t>PENAL_FINOS_P</t>
  </si>
  <si>
    <t>pontos</t>
  </si>
  <si>
    <t>PENAL_PPC</t>
  </si>
  <si>
    <t>ESTOQUE_MAX_PATIO</t>
  </si>
  <si>
    <t>CUSTO_SINTER_AF</t>
  </si>
  <si>
    <t>PATIO RETOMADO</t>
  </si>
  <si>
    <t>PATIO RECOMPOSTO</t>
  </si>
  <si>
    <t>NPO_MIN</t>
  </si>
  <si>
    <t>SF MINERITA</t>
  </si>
  <si>
    <t>SF MUSA 3ºs</t>
  </si>
  <si>
    <t>FME</t>
  </si>
  <si>
    <t>CABO VERDE</t>
  </si>
  <si>
    <t>RJB</t>
  </si>
  <si>
    <t>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</si>
</sst>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 &quot;* #,##0.00_);_(&quot;R$ &quot;* \(#,##0.00\);_(&quot;R$ &quot;* &quot;-&quot;??_);_(@_)"/>
    <numFmt numFmtId="165" formatCode="0.000"/>
    <numFmt numFmtId="166" formatCode="0.0"/>
  </numFmts>
  <fonts count="22" x14ac:knownFonts="1">
    <font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C00000"/>
      <name val="Arial"/>
      <family val="2"/>
    </font>
    <font>
      <sz val="10"/>
      <color rgb="FF00B05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indexed="56"/>
      <name val="Arial"/>
      <family val="2"/>
    </font>
    <font>
      <b/>
      <sz val="10"/>
      <color rgb="FFC00000"/>
      <name val="Arial"/>
      <family val="2"/>
    </font>
    <font>
      <b/>
      <sz val="10"/>
      <color rgb="FF00B050"/>
      <name val="Arial"/>
      <family val="2"/>
    </font>
    <font>
      <b/>
      <sz val="10"/>
      <color rgb="FF00000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11"/>
      <color rgb="FF7030A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 tint="0.499984740745262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499984740745262"/>
      <name val="Arial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DDE7F2"/>
        </stop>
      </gradientFill>
    </fill>
    <fill>
      <patternFill patternType="solid">
        <fgColor rgb="FFD9D9D9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222">
    <xf numFmtId="0" fontId="0" fillId="0" borderId="0" xfId="0"/>
    <xf numFmtId="2" fontId="2" fillId="2" borderId="7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2" fontId="8" fillId="3" borderId="7" xfId="0" applyNumberFormat="1" applyFont="1" applyFill="1" applyBorder="1" applyAlignment="1">
      <alignment horizontal="center" vertical="center"/>
    </xf>
    <xf numFmtId="0" fontId="9" fillId="0" borderId="0" xfId="0" applyFont="1"/>
    <xf numFmtId="2" fontId="6" fillId="2" borderId="5" xfId="0" applyNumberFormat="1" applyFont="1" applyFill="1" applyBorder="1" applyAlignment="1">
      <alignment horizontal="left" vertical="center"/>
    </xf>
    <xf numFmtId="1" fontId="2" fillId="2" borderId="7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left" vertical="center"/>
    </xf>
    <xf numFmtId="1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8" fillId="3" borderId="4" xfId="0" applyNumberFormat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2" fillId="2" borderId="9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left" vertical="center"/>
    </xf>
    <xf numFmtId="2" fontId="2" fillId="2" borderId="8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10" fillId="2" borderId="6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6" xfId="0" applyNumberFormat="1" applyFont="1" applyFill="1" applyBorder="1" applyAlignment="1">
      <alignment horizontal="center" vertical="center"/>
    </xf>
    <xf numFmtId="1" fontId="11" fillId="2" borderId="7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1" fontId="12" fillId="3" borderId="6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2" fontId="8" fillId="3" borderId="11" xfId="0" applyNumberFormat="1" applyFont="1" applyFill="1" applyBorder="1" applyAlignment="1">
      <alignment horizontal="center" vertical="center"/>
    </xf>
    <xf numFmtId="2" fontId="8" fillId="3" borderId="9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left" vertical="center"/>
    </xf>
    <xf numFmtId="1" fontId="12" fillId="3" borderId="2" xfId="0" applyNumberFormat="1" applyFont="1" applyFill="1" applyBorder="1" applyAlignment="1">
      <alignment horizontal="center" vertical="center"/>
    </xf>
    <xf numFmtId="1" fontId="12" fillId="3" borderId="7" xfId="0" applyNumberFormat="1" applyFont="1" applyFill="1" applyBorder="1" applyAlignment="1">
      <alignment horizontal="center" vertical="center"/>
    </xf>
    <xf numFmtId="1" fontId="12" fillId="3" borderId="10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2" fontId="8" fillId="3" borderId="10" xfId="0" applyNumberFormat="1" applyFont="1" applyFill="1" applyBorder="1" applyAlignment="1">
      <alignment horizontal="center" vertical="center"/>
    </xf>
    <xf numFmtId="2" fontId="8" fillId="3" borderId="8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" fontId="10" fillId="2" borderId="10" xfId="0" applyNumberFormat="1" applyFont="1" applyFill="1" applyBorder="1" applyAlignment="1">
      <alignment horizontal="center" vertical="center"/>
    </xf>
    <xf numFmtId="1" fontId="10" fillId="2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" fontId="14" fillId="2" borderId="6" xfId="0" applyNumberFormat="1" applyFont="1" applyFill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2" fontId="13" fillId="2" borderId="5" xfId="0" applyNumberFormat="1" applyFont="1" applyFill="1" applyBorder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/>
    </xf>
    <xf numFmtId="2" fontId="13" fillId="2" borderId="8" xfId="0" applyNumberFormat="1" applyFont="1" applyFill="1" applyBorder="1" applyAlignment="1">
      <alignment horizontal="center" vertical="center"/>
    </xf>
    <xf numFmtId="2" fontId="13" fillId="2" borderId="9" xfId="0" applyNumberFormat="1" applyFont="1" applyFill="1" applyBorder="1" applyAlignment="1">
      <alignment horizontal="center" vertical="center"/>
    </xf>
    <xf numFmtId="2" fontId="15" fillId="2" borderId="8" xfId="0" applyNumberFormat="1" applyFont="1" applyFill="1" applyBorder="1" applyAlignment="1">
      <alignment horizontal="center" vertical="center"/>
    </xf>
    <xf numFmtId="2" fontId="15" fillId="2" borderId="11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1" fontId="16" fillId="2" borderId="10" xfId="0" applyNumberFormat="1" applyFont="1" applyFill="1" applyBorder="1" applyAlignment="1">
      <alignment horizontal="center" vertical="center"/>
    </xf>
    <xf numFmtId="165" fontId="15" fillId="2" borderId="11" xfId="0" applyNumberFormat="1" applyFont="1" applyFill="1" applyBorder="1" applyAlignment="1">
      <alignment horizontal="center" vertical="center"/>
    </xf>
    <xf numFmtId="2" fontId="13" fillId="2" borderId="11" xfId="0" applyNumberFormat="1" applyFont="1" applyFill="1" applyBorder="1" applyAlignment="1">
      <alignment horizontal="center" vertical="center"/>
    </xf>
    <xf numFmtId="165" fontId="13" fillId="2" borderId="1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" fontId="0" fillId="0" borderId="0" xfId="0" applyNumberFormat="1"/>
    <xf numFmtId="0" fontId="13" fillId="2" borderId="4" xfId="0" applyFont="1" applyFill="1" applyBorder="1" applyAlignment="1">
      <alignment horizontal="left" vertical="center"/>
    </xf>
    <xf numFmtId="1" fontId="14" fillId="2" borderId="2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165" fontId="13" fillId="2" borderId="3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1" fontId="5" fillId="2" borderId="9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" fontId="8" fillId="3" borderId="8" xfId="0" applyNumberFormat="1" applyFont="1" applyFill="1" applyBorder="1" applyAlignment="1">
      <alignment horizontal="center" vertical="center"/>
    </xf>
    <xf numFmtId="1" fontId="8" fillId="3" borderId="9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0" fontId="13" fillId="2" borderId="6" xfId="0" applyFont="1" applyFill="1" applyBorder="1" applyAlignment="1">
      <alignment horizontal="left" vertical="center"/>
    </xf>
    <xf numFmtId="1" fontId="14" fillId="2" borderId="1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1" fontId="14" fillId="2" borderId="3" xfId="0" applyNumberFormat="1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2" borderId="6" xfId="0" applyNumberFormat="1" applyFont="1" applyFill="1" applyBorder="1" applyAlignment="1">
      <alignment horizontal="center" vertical="center"/>
    </xf>
    <xf numFmtId="2" fontId="13" fillId="2" borderId="10" xfId="0" applyNumberFormat="1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10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center" vertical="center"/>
    </xf>
    <xf numFmtId="49" fontId="7" fillId="5" borderId="7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6" borderId="13" xfId="0" applyNumberFormat="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/>
    </xf>
    <xf numFmtId="2" fontId="15" fillId="2" borderId="3" xfId="0" applyNumberFormat="1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1" fontId="15" fillId="2" borderId="4" xfId="0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0" fontId="17" fillId="0" borderId="0" xfId="0" applyFont="1"/>
    <xf numFmtId="1" fontId="16" fillId="2" borderId="3" xfId="0" applyNumberFormat="1" applyFont="1" applyFill="1" applyBorder="1" applyAlignment="1">
      <alignment horizontal="center" vertical="center"/>
    </xf>
    <xf numFmtId="165" fontId="15" fillId="2" borderId="3" xfId="0" applyNumberFormat="1" applyFont="1" applyFill="1" applyBorder="1" applyAlignment="1">
      <alignment horizontal="center" vertical="center"/>
    </xf>
    <xf numFmtId="1" fontId="16" fillId="2" borderId="11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/>
    </xf>
    <xf numFmtId="2" fontId="15" fillId="2" borderId="4" xfId="0" applyNumberFormat="1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/>
    </xf>
    <xf numFmtId="2" fontId="15" fillId="2" borderId="10" xfId="0" applyNumberFormat="1" applyFont="1" applyFill="1" applyBorder="1" applyAlignment="1">
      <alignment horizontal="center" vertical="center"/>
    </xf>
    <xf numFmtId="1" fontId="15" fillId="2" borderId="8" xfId="0" applyNumberFormat="1" applyFont="1" applyFill="1" applyBorder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65" fontId="15" fillId="2" borderId="2" xfId="0" applyNumberFormat="1" applyFont="1" applyFill="1" applyBorder="1" applyAlignment="1">
      <alignment horizontal="center" vertical="center"/>
    </xf>
    <xf numFmtId="165" fontId="15" fillId="2" borderId="9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165" fontId="6" fillId="2" borderId="5" xfId="0" applyNumberFormat="1" applyFont="1" applyFill="1" applyBorder="1" applyAlignment="1">
      <alignment horizontal="center" vertical="center"/>
    </xf>
    <xf numFmtId="2" fontId="11" fillId="2" borderId="4" xfId="0" applyNumberFormat="1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/>
    </xf>
    <xf numFmtId="1" fontId="2" fillId="2" borderId="0" xfId="0" applyNumberFormat="1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left" vertical="center"/>
    </xf>
    <xf numFmtId="1" fontId="2" fillId="2" borderId="15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0" fontId="2" fillId="2" borderId="6" xfId="2" applyNumberFormat="1" applyFon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center" vertical="center"/>
    </xf>
    <xf numFmtId="10" fontId="2" fillId="2" borderId="5" xfId="2" applyNumberFormat="1" applyFont="1" applyFill="1" applyBorder="1" applyAlignment="1">
      <alignment horizontal="center" vertical="center"/>
    </xf>
    <xf numFmtId="10" fontId="2" fillId="2" borderId="0" xfId="2" applyNumberFormat="1" applyFont="1" applyFill="1" applyBorder="1" applyAlignment="1">
      <alignment horizontal="center" vertical="center"/>
    </xf>
    <xf numFmtId="1" fontId="2" fillId="2" borderId="14" xfId="0" applyNumberFormat="1" applyFont="1" applyFill="1" applyBorder="1" applyAlignment="1">
      <alignment horizontal="left" vertical="center"/>
    </xf>
    <xf numFmtId="10" fontId="20" fillId="2" borderId="6" xfId="2" applyNumberFormat="1" applyFont="1" applyFill="1" applyBorder="1" applyAlignment="1">
      <alignment horizontal="center" vertical="center"/>
    </xf>
    <xf numFmtId="10" fontId="20" fillId="2" borderId="0" xfId="2" applyNumberFormat="1" applyFont="1" applyFill="1" applyBorder="1" applyAlignment="1">
      <alignment horizontal="center" vertical="center"/>
    </xf>
    <xf numFmtId="1" fontId="20" fillId="2" borderId="6" xfId="0" applyNumberFormat="1" applyFont="1" applyFill="1" applyBorder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/>
    </xf>
    <xf numFmtId="10" fontId="20" fillId="2" borderId="5" xfId="2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horizontal="center" vertical="center"/>
    </xf>
    <xf numFmtId="2" fontId="20" fillId="2" borderId="0" xfId="0" applyNumberFormat="1" applyFont="1" applyFill="1" applyAlignment="1">
      <alignment horizontal="center" vertical="center"/>
    </xf>
    <xf numFmtId="166" fontId="21" fillId="2" borderId="13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2" borderId="11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5" fontId="8" fillId="3" borderId="1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6" fillId="0" borderId="0" xfId="0" applyNumberFormat="1" applyFont="1" applyAlignment="1">
      <alignment horizontal="center" vertical="center"/>
    </xf>
    <xf numFmtId="165" fontId="0" fillId="0" borderId="0" xfId="0" applyNumberFormat="1"/>
    <xf numFmtId="0" fontId="13" fillId="2" borderId="10" xfId="0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left" vertical="center"/>
    </xf>
  </cellXfs>
  <cellStyles count="3">
    <cellStyle name="Moeda 10" xfId="1" xr:uid="{4F059BB6-D435-4497-B1A9-7EF967BB6389}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583C-6142-404D-8B66-890C0C522912}">
  <sheetPr codeName="Planilha1"/>
  <dimension ref="A1:AG49"/>
  <sheetViews>
    <sheetView showGridLines="0" tabSelected="1" zoomScale="85" zoomScaleNormal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M19" sqref="M19"/>
    </sheetView>
  </sheetViews>
  <sheetFormatPr defaultRowHeight="14.5" x14ac:dyDescent="0.35"/>
  <cols>
    <col min="1" max="1" width="12.90625" bestFit="1" customWidth="1"/>
    <col min="2" max="2" width="20.1796875" bestFit="1" customWidth="1"/>
    <col min="3" max="3" width="25.26953125" bestFit="1" customWidth="1"/>
    <col min="4" max="4" width="10.54296875" bestFit="1" customWidth="1"/>
    <col min="5" max="5" width="11.1796875" bestFit="1" customWidth="1"/>
    <col min="20" max="20" width="10.26953125" customWidth="1"/>
    <col min="21" max="22" width="10.81640625" bestFit="1" customWidth="1"/>
    <col min="23" max="23" width="17.81640625" bestFit="1" customWidth="1"/>
    <col min="24" max="32" width="16.7265625" customWidth="1"/>
    <col min="33" max="33" width="21" customWidth="1"/>
  </cols>
  <sheetData>
    <row r="1" spans="1:33" ht="39" x14ac:dyDescent="0.35">
      <c r="A1" s="152" t="s">
        <v>133</v>
      </c>
      <c r="B1" s="152" t="s">
        <v>44</v>
      </c>
      <c r="C1" s="153" t="s">
        <v>31</v>
      </c>
      <c r="D1" s="154" t="s">
        <v>32</v>
      </c>
      <c r="E1" s="155" t="s">
        <v>33</v>
      </c>
      <c r="F1" s="155" t="s">
        <v>0</v>
      </c>
      <c r="G1" s="155" t="s">
        <v>1</v>
      </c>
      <c r="H1" s="155" t="s">
        <v>2</v>
      </c>
      <c r="I1" s="155" t="s">
        <v>3</v>
      </c>
      <c r="J1" s="155" t="s">
        <v>4</v>
      </c>
      <c r="K1" s="155" t="s">
        <v>5</v>
      </c>
      <c r="L1" s="155" t="s">
        <v>6</v>
      </c>
      <c r="M1" s="155" t="s">
        <v>146</v>
      </c>
      <c r="N1" s="155" t="s">
        <v>147</v>
      </c>
      <c r="O1" s="155" t="s">
        <v>7</v>
      </c>
      <c r="P1" s="152" t="s">
        <v>8</v>
      </c>
      <c r="Q1" s="153" t="s">
        <v>132</v>
      </c>
      <c r="R1" s="154" t="s">
        <v>30</v>
      </c>
      <c r="S1" s="155" t="s">
        <v>9</v>
      </c>
      <c r="T1" s="156" t="s">
        <v>10</v>
      </c>
      <c r="U1" s="157" t="s">
        <v>34</v>
      </c>
      <c r="V1" s="157" t="s">
        <v>189</v>
      </c>
      <c r="W1" s="152" t="s">
        <v>42</v>
      </c>
      <c r="X1" s="158" t="s">
        <v>71</v>
      </c>
      <c r="Y1" s="159" t="s">
        <v>73</v>
      </c>
      <c r="Z1" s="159" t="s">
        <v>72</v>
      </c>
      <c r="AA1" s="159" t="s">
        <v>74</v>
      </c>
      <c r="AB1" s="159" t="s">
        <v>75</v>
      </c>
      <c r="AC1" s="160" t="s">
        <v>111</v>
      </c>
      <c r="AD1" s="161" t="s">
        <v>112</v>
      </c>
      <c r="AE1" s="161" t="s">
        <v>113</v>
      </c>
      <c r="AF1" s="161" t="s">
        <v>114</v>
      </c>
      <c r="AG1" s="161" t="s">
        <v>115</v>
      </c>
    </row>
    <row r="2" spans="1:33" x14ac:dyDescent="0.35">
      <c r="A2" s="89" t="s">
        <v>134</v>
      </c>
      <c r="B2" s="89" t="s">
        <v>159</v>
      </c>
      <c r="C2" s="100" t="s">
        <v>12</v>
      </c>
      <c r="D2" s="29">
        <v>0</v>
      </c>
      <c r="E2" s="30">
        <f>167000-E3</f>
        <v>152000</v>
      </c>
      <c r="F2" s="38">
        <v>0.04</v>
      </c>
      <c r="G2" s="38">
        <v>7.55</v>
      </c>
      <c r="H2" s="38">
        <v>0.05</v>
      </c>
      <c r="I2" s="38">
        <v>0.23</v>
      </c>
      <c r="J2" s="38">
        <v>0.88</v>
      </c>
      <c r="K2" s="208">
        <v>4.2999999999999997E-2</v>
      </c>
      <c r="L2" s="38">
        <v>62.51</v>
      </c>
      <c r="M2" s="38">
        <v>1E-3</v>
      </c>
      <c r="N2" s="38">
        <v>1E-3</v>
      </c>
      <c r="O2" s="38">
        <v>1E-3</v>
      </c>
      <c r="P2" s="18">
        <v>1.43</v>
      </c>
      <c r="Q2" s="18">
        <v>100</v>
      </c>
      <c r="R2" s="38">
        <v>5.98</v>
      </c>
      <c r="S2" s="38">
        <v>34.67</v>
      </c>
      <c r="T2" s="1">
        <v>24.01</v>
      </c>
      <c r="U2" s="38">
        <v>8</v>
      </c>
      <c r="V2" s="17">
        <v>0</v>
      </c>
      <c r="W2" s="18">
        <v>69.78</v>
      </c>
      <c r="X2" s="17"/>
      <c r="Y2" s="15"/>
      <c r="Z2" s="115"/>
      <c r="AA2" s="17"/>
      <c r="AB2" s="17"/>
      <c r="AC2" s="17"/>
      <c r="AD2" s="15"/>
      <c r="AE2" s="115"/>
      <c r="AF2" s="17"/>
      <c r="AG2" s="17"/>
    </row>
    <row r="3" spans="1:33" x14ac:dyDescent="0.35">
      <c r="A3" s="89" t="s">
        <v>134</v>
      </c>
      <c r="B3" s="89" t="s">
        <v>159</v>
      </c>
      <c r="C3" s="100" t="s">
        <v>211</v>
      </c>
      <c r="D3" s="29">
        <v>0</v>
      </c>
      <c r="E3" s="30">
        <v>15000</v>
      </c>
      <c r="F3" s="38">
        <v>0.04</v>
      </c>
      <c r="G3" s="38">
        <v>7</v>
      </c>
      <c r="H3" s="38">
        <v>0.05</v>
      </c>
      <c r="I3" s="38">
        <v>1</v>
      </c>
      <c r="J3" s="38">
        <v>2.8</v>
      </c>
      <c r="K3" s="208">
        <v>0.08</v>
      </c>
      <c r="L3" s="38">
        <v>59</v>
      </c>
      <c r="M3" s="38">
        <v>1E-3</v>
      </c>
      <c r="N3" s="38">
        <v>1E-3</v>
      </c>
      <c r="O3" s="38">
        <v>1E-3</v>
      </c>
      <c r="P3" s="18">
        <v>6</v>
      </c>
      <c r="Q3" s="18">
        <v>100</v>
      </c>
      <c r="R3" s="38">
        <v>19</v>
      </c>
      <c r="S3" s="38">
        <v>60</v>
      </c>
      <c r="T3" s="1">
        <v>10</v>
      </c>
      <c r="U3" s="38">
        <v>8</v>
      </c>
      <c r="V3" s="17">
        <v>0</v>
      </c>
      <c r="W3" s="18">
        <v>69.78</v>
      </c>
      <c r="X3" s="17"/>
      <c r="Y3" s="15"/>
      <c r="Z3" s="115"/>
      <c r="AA3" s="17"/>
      <c r="AB3" s="17"/>
      <c r="AC3" s="17"/>
      <c r="AD3" s="15"/>
      <c r="AE3" s="115"/>
      <c r="AF3" s="17"/>
      <c r="AG3" s="17"/>
    </row>
    <row r="4" spans="1:33" x14ac:dyDescent="0.35">
      <c r="A4" s="89" t="s">
        <v>134</v>
      </c>
      <c r="B4" s="89" t="s">
        <v>159</v>
      </c>
      <c r="C4" s="100" t="s">
        <v>13</v>
      </c>
      <c r="D4" s="29">
        <v>0</v>
      </c>
      <c r="E4" s="30">
        <v>3000</v>
      </c>
      <c r="F4" s="38">
        <v>0.04</v>
      </c>
      <c r="G4" s="38">
        <v>2.5000000000000004</v>
      </c>
      <c r="H4" s="38">
        <v>0.05</v>
      </c>
      <c r="I4" s="38">
        <v>1</v>
      </c>
      <c r="J4" s="38">
        <v>0.95118048726014914</v>
      </c>
      <c r="K4" s="208">
        <v>7.1634919768271313E-2</v>
      </c>
      <c r="L4" s="38">
        <v>65.112139663685483</v>
      </c>
      <c r="M4" s="38">
        <v>1E-3</v>
      </c>
      <c r="N4" s="38">
        <v>1E-3</v>
      </c>
      <c r="O4" s="38">
        <v>1E-3</v>
      </c>
      <c r="P4" s="18">
        <v>2.7866490210437864</v>
      </c>
      <c r="Q4" s="18">
        <v>100</v>
      </c>
      <c r="R4" s="38">
        <v>0</v>
      </c>
      <c r="S4" s="38">
        <v>0.05</v>
      </c>
      <c r="T4" s="1">
        <v>90</v>
      </c>
      <c r="U4" s="38">
        <v>13</v>
      </c>
      <c r="V4" s="17">
        <v>0</v>
      </c>
      <c r="W4" s="18">
        <v>78.31</v>
      </c>
      <c r="X4" s="17"/>
      <c r="Y4" s="15"/>
      <c r="Z4" s="115"/>
      <c r="AA4" s="17"/>
      <c r="AB4" s="17"/>
      <c r="AC4" s="17"/>
      <c r="AD4" s="15"/>
      <c r="AE4" s="115"/>
      <c r="AF4" s="17"/>
      <c r="AG4" s="17"/>
    </row>
    <row r="5" spans="1:33" x14ac:dyDescent="0.35">
      <c r="A5" s="89" t="s">
        <v>134</v>
      </c>
      <c r="B5" s="89" t="s">
        <v>159</v>
      </c>
      <c r="C5" s="100" t="s">
        <v>210</v>
      </c>
      <c r="D5" s="29">
        <v>0</v>
      </c>
      <c r="E5" s="30">
        <v>30000</v>
      </c>
      <c r="F5" s="38">
        <v>0.04</v>
      </c>
      <c r="G5" s="38">
        <v>6.72</v>
      </c>
      <c r="H5" s="38">
        <v>0.05</v>
      </c>
      <c r="I5" s="38">
        <v>6.9000000000000006E-2</v>
      </c>
      <c r="J5" s="38">
        <v>1.0589999999999999</v>
      </c>
      <c r="K5" s="208">
        <v>5.0999999999999997E-2</v>
      </c>
      <c r="L5" s="38">
        <v>63.26</v>
      </c>
      <c r="M5" s="38">
        <v>1E-3</v>
      </c>
      <c r="N5" s="38">
        <v>1E-3</v>
      </c>
      <c r="O5" s="38">
        <v>1E-3</v>
      </c>
      <c r="P5" s="18">
        <v>1.58</v>
      </c>
      <c r="Q5" s="18">
        <v>100</v>
      </c>
      <c r="R5" s="38">
        <v>3.8140000000000001</v>
      </c>
      <c r="S5" s="38">
        <v>40.78</v>
      </c>
      <c r="T5" s="1">
        <v>21.82</v>
      </c>
      <c r="U5" s="38">
        <v>6.29</v>
      </c>
      <c r="V5" s="17">
        <v>0</v>
      </c>
      <c r="W5" s="18">
        <v>71.34</v>
      </c>
      <c r="X5" s="17"/>
      <c r="Y5" s="15"/>
      <c r="Z5" s="115"/>
      <c r="AA5" s="17"/>
      <c r="AB5" s="17"/>
      <c r="AC5" s="17"/>
      <c r="AD5" s="15"/>
      <c r="AE5" s="115"/>
      <c r="AF5" s="17"/>
      <c r="AG5" s="17"/>
    </row>
    <row r="6" spans="1:33" x14ac:dyDescent="0.35">
      <c r="A6" s="89" t="s">
        <v>134</v>
      </c>
      <c r="B6" s="89" t="s">
        <v>159</v>
      </c>
      <c r="C6" s="100" t="s">
        <v>14</v>
      </c>
      <c r="D6" s="29">
        <v>0</v>
      </c>
      <c r="E6" s="30">
        <v>40000</v>
      </c>
      <c r="F6" s="38">
        <v>1.0699999999999999E-2</v>
      </c>
      <c r="G6" s="38">
        <v>6.8979499999999998</v>
      </c>
      <c r="H6" s="38">
        <v>8.6199999999999999E-2</v>
      </c>
      <c r="I6" s="38">
        <v>0.20465</v>
      </c>
      <c r="J6" s="38">
        <v>1.4478249999999999</v>
      </c>
      <c r="K6" s="208">
        <v>6.9724999999999995E-2</v>
      </c>
      <c r="L6" s="38">
        <v>60.155375000000006</v>
      </c>
      <c r="M6" s="38">
        <v>0</v>
      </c>
      <c r="N6" s="38">
        <v>0</v>
      </c>
      <c r="O6" s="38">
        <v>0</v>
      </c>
      <c r="P6" s="18">
        <v>5.0310625</v>
      </c>
      <c r="Q6" s="18">
        <v>100</v>
      </c>
      <c r="R6" s="38">
        <v>17.5722375</v>
      </c>
      <c r="S6" s="38">
        <v>76.872437500000004</v>
      </c>
      <c r="T6" s="1">
        <v>10.406075000000001</v>
      </c>
      <c r="U6" s="38">
        <v>10.5</v>
      </c>
      <c r="V6" s="17">
        <v>0</v>
      </c>
      <c r="W6" s="18">
        <v>68.86</v>
      </c>
      <c r="X6" s="17"/>
      <c r="Y6" s="15"/>
      <c r="Z6" s="115"/>
      <c r="AA6" s="17"/>
      <c r="AB6" s="17"/>
      <c r="AC6" s="17"/>
      <c r="AD6" s="15"/>
      <c r="AE6" s="115"/>
      <c r="AF6" s="17"/>
      <c r="AG6" s="17"/>
    </row>
    <row r="7" spans="1:33" x14ac:dyDescent="0.35">
      <c r="A7" s="89" t="s">
        <v>134</v>
      </c>
      <c r="B7" s="89" t="s">
        <v>159</v>
      </c>
      <c r="C7" s="100" t="s">
        <v>15</v>
      </c>
      <c r="D7" s="29">
        <v>0</v>
      </c>
      <c r="E7" s="30">
        <v>30000</v>
      </c>
      <c r="F7" s="38">
        <v>0.09</v>
      </c>
      <c r="G7" s="38">
        <v>4.2345000000000006</v>
      </c>
      <c r="H7" s="38">
        <v>0.21209913018728377</v>
      </c>
      <c r="I7" s="38">
        <v>1.2898333333333334</v>
      </c>
      <c r="J7" s="38">
        <v>2.3795000000000002</v>
      </c>
      <c r="K7" s="208">
        <v>5.6499999999999995E-2</v>
      </c>
      <c r="L7" s="38">
        <v>61.064999999999998</v>
      </c>
      <c r="M7" s="38">
        <v>1E-3</v>
      </c>
      <c r="N7" s="38">
        <v>1E-3</v>
      </c>
      <c r="O7" s="38">
        <v>0</v>
      </c>
      <c r="P7" s="18">
        <v>3.9125000000000001</v>
      </c>
      <c r="Q7" s="18">
        <v>100</v>
      </c>
      <c r="R7" s="38">
        <v>22.332666666666668</v>
      </c>
      <c r="S7" s="38">
        <v>41.24616666666666</v>
      </c>
      <c r="T7" s="1">
        <v>26.621166666666664</v>
      </c>
      <c r="U7" s="38">
        <v>10</v>
      </c>
      <c r="V7" s="17">
        <v>0</v>
      </c>
      <c r="W7" s="18">
        <v>83.97</v>
      </c>
      <c r="X7" s="17"/>
      <c r="Y7" s="15"/>
      <c r="Z7" s="115"/>
      <c r="AA7" s="17"/>
      <c r="AB7" s="17"/>
      <c r="AC7" s="17"/>
      <c r="AD7" s="15"/>
      <c r="AE7" s="115"/>
      <c r="AF7" s="17"/>
      <c r="AG7" s="17"/>
    </row>
    <row r="8" spans="1:33" x14ac:dyDescent="0.35">
      <c r="A8" s="89" t="s">
        <v>134</v>
      </c>
      <c r="B8" s="89" t="s">
        <v>159</v>
      </c>
      <c r="C8" s="100" t="s">
        <v>16</v>
      </c>
      <c r="D8" s="29">
        <v>0</v>
      </c>
      <c r="E8" s="30">
        <v>66000</v>
      </c>
      <c r="F8" s="38">
        <v>1.4115</v>
      </c>
      <c r="G8" s="38">
        <v>3.6499344601476955</v>
      </c>
      <c r="H8" s="38">
        <v>0.98199999999999998</v>
      </c>
      <c r="I8" s="38">
        <v>0.13008792971734148</v>
      </c>
      <c r="J8" s="38">
        <v>1.0724226317799848</v>
      </c>
      <c r="K8" s="208">
        <v>0.10022709129106189</v>
      </c>
      <c r="L8" s="38">
        <v>63.715617917621586</v>
      </c>
      <c r="M8" s="38">
        <v>0</v>
      </c>
      <c r="N8" s="38">
        <v>0</v>
      </c>
      <c r="O8" s="38">
        <v>0</v>
      </c>
      <c r="P8" s="18">
        <v>1.162207426152279</v>
      </c>
      <c r="Q8" s="18">
        <v>100</v>
      </c>
      <c r="R8" s="38">
        <v>2.9221515883626172</v>
      </c>
      <c r="S8" s="38">
        <v>18.090800028647827</v>
      </c>
      <c r="T8" s="1">
        <v>3.6214551629742808</v>
      </c>
      <c r="U8" s="38">
        <v>3</v>
      </c>
      <c r="V8" s="17">
        <v>0</v>
      </c>
      <c r="W8" s="18">
        <v>65.78</v>
      </c>
      <c r="X8" s="17"/>
      <c r="Y8" s="15"/>
      <c r="Z8" s="115"/>
      <c r="AA8" s="17"/>
      <c r="AB8" s="17"/>
      <c r="AC8" s="17"/>
      <c r="AD8" s="15"/>
      <c r="AE8" s="115"/>
      <c r="AF8" s="17"/>
      <c r="AG8" s="17"/>
    </row>
    <row r="9" spans="1:33" x14ac:dyDescent="0.35">
      <c r="A9" s="89" t="s">
        <v>134</v>
      </c>
      <c r="B9" s="89" t="s">
        <v>159</v>
      </c>
      <c r="C9" s="100" t="s">
        <v>17</v>
      </c>
      <c r="D9" s="29">
        <v>0</v>
      </c>
      <c r="E9" s="30">
        <v>60000</v>
      </c>
      <c r="F9" s="38">
        <v>0.34050000000000002</v>
      </c>
      <c r="G9" s="38">
        <v>6.65</v>
      </c>
      <c r="H9" s="38">
        <v>0.129</v>
      </c>
      <c r="I9" s="38">
        <v>0.45</v>
      </c>
      <c r="J9" s="38">
        <v>1.75</v>
      </c>
      <c r="K9" s="208">
        <v>4.4999999999999998E-2</v>
      </c>
      <c r="L9" s="38">
        <v>61.75</v>
      </c>
      <c r="M9" s="38">
        <v>1E-3</v>
      </c>
      <c r="N9" s="38">
        <v>1E-3</v>
      </c>
      <c r="O9" s="38">
        <v>1E-3</v>
      </c>
      <c r="P9" s="18">
        <v>2.35</v>
      </c>
      <c r="Q9" s="18">
        <v>100</v>
      </c>
      <c r="R9" s="38">
        <v>7.75</v>
      </c>
      <c r="S9" s="38">
        <v>41.5</v>
      </c>
      <c r="T9" s="1">
        <v>24</v>
      </c>
      <c r="U9" s="38">
        <v>8.5</v>
      </c>
      <c r="V9" s="17">
        <v>0</v>
      </c>
      <c r="W9" s="18">
        <v>66.189523809523791</v>
      </c>
      <c r="X9" s="17"/>
      <c r="Y9" s="15"/>
      <c r="Z9" s="115"/>
      <c r="AA9" s="17"/>
      <c r="AB9" s="17"/>
      <c r="AC9" s="17"/>
      <c r="AD9" s="15"/>
      <c r="AE9" s="115"/>
      <c r="AF9" s="17"/>
      <c r="AG9" s="17"/>
    </row>
    <row r="10" spans="1:33" x14ac:dyDescent="0.35">
      <c r="A10" s="89" t="s">
        <v>134</v>
      </c>
      <c r="B10" s="89" t="s">
        <v>159</v>
      </c>
      <c r="C10" s="100" t="s">
        <v>18</v>
      </c>
      <c r="D10" s="29">
        <v>0</v>
      </c>
      <c r="E10" s="30">
        <v>40000</v>
      </c>
      <c r="F10" s="38">
        <v>1.0699999999999999E-2</v>
      </c>
      <c r="G10" s="38">
        <v>7.6733600000000006</v>
      </c>
      <c r="H10" s="38">
        <v>8.6199999999999999E-2</v>
      </c>
      <c r="I10" s="38">
        <v>0.46695999999999999</v>
      </c>
      <c r="J10" s="38">
        <v>1.2078599999999999</v>
      </c>
      <c r="K10" s="208">
        <v>6.608E-2</v>
      </c>
      <c r="L10" s="38">
        <v>60.944200000000002</v>
      </c>
      <c r="M10" s="38">
        <v>0</v>
      </c>
      <c r="N10" s="38">
        <v>0</v>
      </c>
      <c r="O10" s="38">
        <v>0</v>
      </c>
      <c r="P10" s="18">
        <v>3.0585</v>
      </c>
      <c r="Q10" s="18">
        <v>100</v>
      </c>
      <c r="R10" s="38">
        <v>22.073399999999999</v>
      </c>
      <c r="S10" s="38">
        <v>59.130179999999996</v>
      </c>
      <c r="T10" s="1">
        <v>15.88134</v>
      </c>
      <c r="U10" s="38">
        <v>10</v>
      </c>
      <c r="V10" s="17">
        <v>1</v>
      </c>
      <c r="W10" s="18">
        <v>82.05</v>
      </c>
      <c r="X10" s="17"/>
      <c r="Y10" s="15"/>
      <c r="Z10" s="115"/>
      <c r="AA10" s="17"/>
      <c r="AB10" s="17"/>
      <c r="AC10" s="17"/>
      <c r="AD10" s="15"/>
      <c r="AE10" s="115"/>
      <c r="AF10" s="17"/>
      <c r="AG10" s="17"/>
    </row>
    <row r="11" spans="1:33" x14ac:dyDescent="0.35">
      <c r="A11" s="89" t="s">
        <v>134</v>
      </c>
      <c r="B11" s="89" t="s">
        <v>159</v>
      </c>
      <c r="C11" s="100" t="s">
        <v>19</v>
      </c>
      <c r="D11" s="29">
        <v>0</v>
      </c>
      <c r="E11" s="30">
        <v>40000</v>
      </c>
      <c r="F11" s="38">
        <v>5.6787514731971439E-2</v>
      </c>
      <c r="G11" s="38">
        <v>5.0210600000000003</v>
      </c>
      <c r="H11" s="38">
        <v>8.9692171685553906E-2</v>
      </c>
      <c r="I11" s="38">
        <v>0.10423777777777779</v>
      </c>
      <c r="J11" s="38">
        <v>2.6462588888888887</v>
      </c>
      <c r="K11" s="208">
        <v>0.10607888888888888</v>
      </c>
      <c r="L11" s="38">
        <v>60.195749999999997</v>
      </c>
      <c r="M11" s="38">
        <v>0</v>
      </c>
      <c r="N11" s="38">
        <v>0</v>
      </c>
      <c r="O11" s="38">
        <v>0</v>
      </c>
      <c r="P11" s="18">
        <v>5.5399277777777778</v>
      </c>
      <c r="Q11" s="18">
        <v>100</v>
      </c>
      <c r="R11" s="38">
        <v>19.430981111111109</v>
      </c>
      <c r="S11" s="38">
        <v>54.378092222222222</v>
      </c>
      <c r="T11" s="1">
        <v>17.153952222222223</v>
      </c>
      <c r="U11" s="38">
        <v>11.5</v>
      </c>
      <c r="V11" s="17">
        <v>1</v>
      </c>
      <c r="W11" s="18">
        <v>74.14</v>
      </c>
      <c r="X11" s="17"/>
      <c r="Y11" s="15"/>
      <c r="Z11" s="115"/>
      <c r="AA11" s="17"/>
      <c r="AB11" s="17"/>
      <c r="AC11" s="17"/>
      <c r="AD11" s="15"/>
      <c r="AE11" s="115"/>
      <c r="AF11" s="17"/>
      <c r="AG11" s="17"/>
    </row>
    <row r="12" spans="1:33" x14ac:dyDescent="0.35">
      <c r="A12" s="89" t="s">
        <v>134</v>
      </c>
      <c r="B12" s="89" t="s">
        <v>159</v>
      </c>
      <c r="C12" s="100" t="s">
        <v>35</v>
      </c>
      <c r="D12" s="29">
        <v>0</v>
      </c>
      <c r="E12" s="30">
        <v>0</v>
      </c>
      <c r="F12" s="38">
        <v>4.5699999999999998E-2</v>
      </c>
      <c r="G12" s="38">
        <v>8.1649999999999991</v>
      </c>
      <c r="H12" s="38">
        <v>6.8000000000000005E-2</v>
      </c>
      <c r="I12" s="38">
        <v>9.1212500000000016</v>
      </c>
      <c r="J12" s="38">
        <v>3.8714166666666663</v>
      </c>
      <c r="K12" s="208">
        <v>5.9749999999999998E-2</v>
      </c>
      <c r="L12" s="38">
        <v>44.011749999999999</v>
      </c>
      <c r="M12" s="38">
        <v>1.0000000000000001E-5</v>
      </c>
      <c r="N12" s="38">
        <v>1.0000000000000001E-5</v>
      </c>
      <c r="O12" s="38">
        <v>1.0000000000000001E-5</v>
      </c>
      <c r="P12" s="27">
        <v>9.5345833333333339</v>
      </c>
      <c r="Q12" s="18">
        <v>100</v>
      </c>
      <c r="R12" s="84">
        <v>9.354750000000001</v>
      </c>
      <c r="S12" s="84">
        <v>55.420083333333331</v>
      </c>
      <c r="T12" s="25">
        <v>10.273833333333334</v>
      </c>
      <c r="U12" s="38">
        <v>22.6</v>
      </c>
      <c r="V12" s="17">
        <v>1</v>
      </c>
      <c r="W12" s="27">
        <v>55.61</v>
      </c>
      <c r="X12" s="17"/>
      <c r="Y12" s="15"/>
      <c r="Z12" s="115"/>
      <c r="AA12" s="17"/>
      <c r="AB12" s="17"/>
      <c r="AC12" s="17"/>
      <c r="AD12" s="15"/>
      <c r="AE12" s="115"/>
      <c r="AF12" s="17"/>
      <c r="AG12" s="17"/>
    </row>
    <row r="13" spans="1:33" ht="15" customHeight="1" x14ac:dyDescent="0.35">
      <c r="A13" s="90" t="s">
        <v>134</v>
      </c>
      <c r="B13" s="90" t="s">
        <v>43</v>
      </c>
      <c r="C13" s="101" t="s">
        <v>170</v>
      </c>
      <c r="D13" s="49">
        <v>0</v>
      </c>
      <c r="E13" s="50">
        <v>0</v>
      </c>
      <c r="F13" s="51">
        <v>0.10774109267847654</v>
      </c>
      <c r="G13" s="52">
        <v>6.7226309941003484</v>
      </c>
      <c r="H13" s="52">
        <v>7.5143148833339168E-2</v>
      </c>
      <c r="I13" s="52">
        <v>0.42157359745033463</v>
      </c>
      <c r="J13" s="52">
        <v>2.7720169963197381</v>
      </c>
      <c r="K13" s="209">
        <v>9.1477900697401776E-2</v>
      </c>
      <c r="L13" s="52">
        <v>58.49</v>
      </c>
      <c r="M13" s="52">
        <v>0</v>
      </c>
      <c r="N13" s="52">
        <v>0</v>
      </c>
      <c r="O13" s="52">
        <v>0.01</v>
      </c>
      <c r="P13" s="53">
        <v>6.64</v>
      </c>
      <c r="Q13" s="53">
        <v>100</v>
      </c>
      <c r="R13" s="52">
        <v>37.19</v>
      </c>
      <c r="S13" s="52">
        <v>71.03</v>
      </c>
      <c r="T13" s="54">
        <v>12.35</v>
      </c>
      <c r="U13" s="52">
        <v>6.6000000000000005</v>
      </c>
      <c r="V13" s="116">
        <v>0</v>
      </c>
      <c r="W13" s="52">
        <v>34.489532702473561</v>
      </c>
      <c r="X13" s="116"/>
      <c r="Y13" s="117"/>
      <c r="Z13" s="118"/>
      <c r="AA13" s="116"/>
      <c r="AB13" s="116"/>
      <c r="AC13" s="116"/>
      <c r="AD13" s="117"/>
      <c r="AE13" s="118"/>
      <c r="AF13" s="116"/>
      <c r="AG13" s="116"/>
    </row>
    <row r="14" spans="1:33" ht="15" customHeight="1" x14ac:dyDescent="0.35">
      <c r="A14" s="91" t="s">
        <v>134</v>
      </c>
      <c r="B14" s="91" t="s">
        <v>43</v>
      </c>
      <c r="C14" s="102" t="s">
        <v>20</v>
      </c>
      <c r="D14" s="31">
        <v>0</v>
      </c>
      <c r="E14" s="55">
        <f>((PROCESSO_MS!D27*-1)+PROCESSO_MS!D2)*(1-PROCESSO_MS!D22)</f>
        <v>55008.665393145704</v>
      </c>
      <c r="F14" s="2">
        <v>10.401652377150912</v>
      </c>
      <c r="G14" s="56">
        <v>6.4197132269961621</v>
      </c>
      <c r="H14" s="56">
        <v>1.6131808561126864</v>
      </c>
      <c r="I14" s="56">
        <v>0.27050016340495786</v>
      </c>
      <c r="J14" s="56">
        <v>1.5950591241573198</v>
      </c>
      <c r="K14" s="210">
        <v>8.425302336286912E-2</v>
      </c>
      <c r="L14" s="56">
        <v>53.470130395818366</v>
      </c>
      <c r="M14" s="56">
        <v>0</v>
      </c>
      <c r="N14" s="56">
        <v>0</v>
      </c>
      <c r="O14" s="56">
        <v>0.01</v>
      </c>
      <c r="P14" s="19">
        <v>4.2376527777777779</v>
      </c>
      <c r="Q14" s="19">
        <v>100</v>
      </c>
      <c r="R14" s="56">
        <v>2.48</v>
      </c>
      <c r="S14" s="56">
        <v>77.73</v>
      </c>
      <c r="T14" s="3">
        <v>4.24</v>
      </c>
      <c r="U14" s="56">
        <v>0.25</v>
      </c>
      <c r="V14" s="71">
        <v>0</v>
      </c>
      <c r="W14" s="56">
        <v>61.634767936257788</v>
      </c>
      <c r="X14" s="71"/>
      <c r="Y14" s="119"/>
      <c r="Z14" s="120"/>
      <c r="AA14" s="71"/>
      <c r="AB14" s="71"/>
      <c r="AC14" s="71"/>
      <c r="AD14" s="119"/>
      <c r="AE14" s="120"/>
      <c r="AF14" s="71"/>
      <c r="AG14" s="71"/>
    </row>
    <row r="15" spans="1:33" ht="15" customHeight="1" x14ac:dyDescent="0.35">
      <c r="A15" s="91" t="s">
        <v>134</v>
      </c>
      <c r="B15" s="91" t="s">
        <v>43</v>
      </c>
      <c r="C15" s="102" t="s">
        <v>21</v>
      </c>
      <c r="D15" s="31">
        <v>0</v>
      </c>
      <c r="E15" s="55">
        <v>50000</v>
      </c>
      <c r="F15" s="2">
        <v>1.9717450980392157</v>
      </c>
      <c r="G15" s="56">
        <v>1.0429999999999999</v>
      </c>
      <c r="H15" s="56">
        <v>0.38184313725490199</v>
      </c>
      <c r="I15" s="56">
        <v>0.52772549019607851</v>
      </c>
      <c r="J15" s="56">
        <v>0.37029411764705866</v>
      </c>
      <c r="K15" s="210">
        <v>4.3725490196078423E-2</v>
      </c>
      <c r="L15" s="56">
        <v>70.030607843137275</v>
      </c>
      <c r="M15" s="56">
        <v>0</v>
      </c>
      <c r="N15" s="56">
        <v>0</v>
      </c>
      <c r="O15" s="56">
        <v>0.01</v>
      </c>
      <c r="P15" s="19">
        <v>5.4117647058823555E-3</v>
      </c>
      <c r="Q15" s="19">
        <v>100</v>
      </c>
      <c r="R15" s="56">
        <v>3.1442156862745083</v>
      </c>
      <c r="S15" s="56">
        <v>31.652431372549021</v>
      </c>
      <c r="T15" s="3">
        <v>9.8711372549019583</v>
      </c>
      <c r="U15" s="56">
        <v>10</v>
      </c>
      <c r="V15" s="71">
        <v>0</v>
      </c>
      <c r="W15" s="56">
        <v>9.51</v>
      </c>
      <c r="X15" s="71"/>
      <c r="Y15" s="119"/>
      <c r="Z15" s="120"/>
      <c r="AA15" s="71"/>
      <c r="AB15" s="71"/>
      <c r="AC15" s="71"/>
      <c r="AD15" s="119"/>
      <c r="AE15" s="120"/>
      <c r="AF15" s="71"/>
      <c r="AG15" s="71"/>
    </row>
    <row r="16" spans="1:33" ht="15" customHeight="1" x14ac:dyDescent="0.35">
      <c r="A16" s="91" t="s">
        <v>134</v>
      </c>
      <c r="B16" s="91" t="s">
        <v>43</v>
      </c>
      <c r="C16" s="102" t="s">
        <v>22</v>
      </c>
      <c r="D16" s="31">
        <f>E16</f>
        <v>12360.017100767182</v>
      </c>
      <c r="E16" s="55">
        <f>0.04061*PROCESSO_MS!D2/(1-MATERIAS_PRIMAS!U16/100)-4819</f>
        <v>12360.017100767182</v>
      </c>
      <c r="F16" s="2">
        <v>10.52656</v>
      </c>
      <c r="G16" s="56">
        <v>7.4587599999999998</v>
      </c>
      <c r="H16" s="56">
        <v>1.6696800000000005</v>
      </c>
      <c r="I16" s="56">
        <v>0.35767999999999994</v>
      </c>
      <c r="J16" s="56">
        <v>1.9209400000000008</v>
      </c>
      <c r="K16" s="210">
        <v>8.5240000000000024E-2</v>
      </c>
      <c r="L16" s="56">
        <v>46.342899999999993</v>
      </c>
      <c r="M16" s="56">
        <v>0</v>
      </c>
      <c r="N16" s="56">
        <v>0</v>
      </c>
      <c r="O16" s="56">
        <v>6.0081999999999995</v>
      </c>
      <c r="P16" s="19">
        <v>12.369999999999996</v>
      </c>
      <c r="Q16" s="19">
        <v>100</v>
      </c>
      <c r="R16" s="56">
        <v>13.020240000000001</v>
      </c>
      <c r="S16" s="56">
        <v>39.01802</v>
      </c>
      <c r="T16" s="3">
        <v>15.0299</v>
      </c>
      <c r="U16" s="56">
        <v>8</v>
      </c>
      <c r="V16" s="71">
        <v>0</v>
      </c>
      <c r="W16" s="56">
        <v>61.634767936257788</v>
      </c>
      <c r="X16" s="71"/>
      <c r="Y16" s="119"/>
      <c r="Z16" s="120"/>
      <c r="AA16" s="71"/>
      <c r="AB16" s="71"/>
      <c r="AC16" s="71"/>
      <c r="AD16" s="119"/>
      <c r="AE16" s="120"/>
      <c r="AF16" s="71"/>
      <c r="AG16" s="71"/>
    </row>
    <row r="17" spans="1:33" ht="15" customHeight="1" x14ac:dyDescent="0.35">
      <c r="A17" s="91" t="s">
        <v>134</v>
      </c>
      <c r="B17" s="91" t="s">
        <v>43</v>
      </c>
      <c r="C17" s="102" t="s">
        <v>37</v>
      </c>
      <c r="D17" s="31">
        <v>0</v>
      </c>
      <c r="E17" s="55">
        <v>0</v>
      </c>
      <c r="F17" s="2">
        <v>17.809999999999999</v>
      </c>
      <c r="G17" s="56">
        <v>5.5</v>
      </c>
      <c r="H17" s="56">
        <v>6.2</v>
      </c>
      <c r="I17" s="56">
        <v>1.29</v>
      </c>
      <c r="J17" s="56">
        <v>3.3</v>
      </c>
      <c r="K17" s="210">
        <v>0.153</v>
      </c>
      <c r="L17" s="56">
        <v>31.63</v>
      </c>
      <c r="M17" s="56">
        <v>0</v>
      </c>
      <c r="N17" s="56">
        <v>0</v>
      </c>
      <c r="O17" s="56">
        <v>3.45</v>
      </c>
      <c r="P17" s="19">
        <v>4.92</v>
      </c>
      <c r="Q17" s="19">
        <v>100</v>
      </c>
      <c r="R17" s="56">
        <v>2.97</v>
      </c>
      <c r="S17" s="56">
        <v>46.06</v>
      </c>
      <c r="T17" s="3">
        <v>8.07</v>
      </c>
      <c r="U17" s="56">
        <v>6</v>
      </c>
      <c r="V17" s="71">
        <v>0</v>
      </c>
      <c r="W17" s="56">
        <v>0.01</v>
      </c>
      <c r="X17" s="71"/>
      <c r="Y17" s="119"/>
      <c r="Z17" s="120"/>
      <c r="AA17" s="71"/>
      <c r="AB17" s="71"/>
      <c r="AC17" s="71"/>
      <c r="AD17" s="119"/>
      <c r="AE17" s="120"/>
      <c r="AF17" s="71"/>
      <c r="AG17" s="71"/>
    </row>
    <row r="18" spans="1:33" ht="15" customHeight="1" x14ac:dyDescent="0.35">
      <c r="A18" s="91" t="s">
        <v>134</v>
      </c>
      <c r="B18" s="91" t="s">
        <v>43</v>
      </c>
      <c r="C18" s="102" t="s">
        <v>38</v>
      </c>
      <c r="D18" s="31">
        <f>E18</f>
        <v>3835.8428484848487</v>
      </c>
      <c r="E18" s="55">
        <f>0.01351*SUM(PROCESSO_AF!C6:D6)/(1-U18/100)+32</f>
        <v>3835.8428484848487</v>
      </c>
      <c r="F18" s="2">
        <v>4.5135499999999986</v>
      </c>
      <c r="G18" s="56">
        <v>7.8647749999999972</v>
      </c>
      <c r="H18" s="56">
        <v>0.70782500000000004</v>
      </c>
      <c r="I18" s="56">
        <v>0.32869999999999988</v>
      </c>
      <c r="J18" s="56">
        <v>2.27895</v>
      </c>
      <c r="K18" s="210">
        <v>8.8724999999999971E-2</v>
      </c>
      <c r="L18" s="56">
        <v>38.185452586206893</v>
      </c>
      <c r="M18" s="56">
        <v>0</v>
      </c>
      <c r="N18" s="56">
        <v>0</v>
      </c>
      <c r="O18" s="56">
        <v>23.301525000000002</v>
      </c>
      <c r="P18" s="19">
        <v>31.159749999999995</v>
      </c>
      <c r="Q18" s="19">
        <v>100</v>
      </c>
      <c r="R18" s="56">
        <v>2.2662750000000007</v>
      </c>
      <c r="S18" s="56">
        <v>12.909225000000001</v>
      </c>
      <c r="T18" s="3">
        <v>22.487225000000002</v>
      </c>
      <c r="U18" s="56">
        <v>1</v>
      </c>
      <c r="V18" s="71">
        <v>0</v>
      </c>
      <c r="W18" s="56">
        <v>0.01</v>
      </c>
      <c r="X18" s="71"/>
      <c r="Y18" s="119"/>
      <c r="Z18" s="120"/>
      <c r="AA18" s="71"/>
      <c r="AB18" s="71"/>
      <c r="AC18" s="71"/>
      <c r="AD18" s="119"/>
      <c r="AE18" s="120"/>
      <c r="AF18" s="71"/>
      <c r="AG18" s="71"/>
    </row>
    <row r="19" spans="1:33" ht="15" customHeight="1" x14ac:dyDescent="0.35">
      <c r="A19" s="92" t="s">
        <v>134</v>
      </c>
      <c r="B19" s="92" t="s">
        <v>43</v>
      </c>
      <c r="C19" s="103" t="s">
        <v>39</v>
      </c>
      <c r="D19" s="57">
        <f>E19</f>
        <v>6099.0659999999998</v>
      </c>
      <c r="E19" s="58">
        <f>0.023*SUM(PROCESSO_AF!C6:D6)-312</f>
        <v>6099.0659999999998</v>
      </c>
      <c r="F19" s="59">
        <v>18.753</v>
      </c>
      <c r="G19" s="60">
        <v>6.4314999999999998</v>
      </c>
      <c r="H19" s="60">
        <v>2.1334999999999997</v>
      </c>
      <c r="I19" s="60">
        <v>0.24349999999999999</v>
      </c>
      <c r="J19" s="60">
        <v>1.2218730774695561</v>
      </c>
      <c r="K19" s="211">
        <v>0.10150000000000001</v>
      </c>
      <c r="L19" s="60">
        <v>40.367000000000004</v>
      </c>
      <c r="M19" s="60">
        <v>0</v>
      </c>
      <c r="N19" s="60">
        <v>0</v>
      </c>
      <c r="O19" s="60">
        <v>0.01</v>
      </c>
      <c r="P19" s="61">
        <v>7.14</v>
      </c>
      <c r="Q19" s="61">
        <v>100</v>
      </c>
      <c r="R19" s="60">
        <v>0.01</v>
      </c>
      <c r="S19" s="60">
        <v>5.0999999999999996</v>
      </c>
      <c r="T19" s="62">
        <v>51</v>
      </c>
      <c r="U19" s="60">
        <v>0</v>
      </c>
      <c r="V19" s="121">
        <v>0</v>
      </c>
      <c r="W19" s="60">
        <v>0.01</v>
      </c>
      <c r="X19" s="121"/>
      <c r="Y19" s="122"/>
      <c r="Z19" s="123"/>
      <c r="AA19" s="121"/>
      <c r="AB19" s="121"/>
      <c r="AC19" s="121"/>
      <c r="AD19" s="122"/>
      <c r="AE19" s="123"/>
      <c r="AF19" s="121"/>
      <c r="AG19" s="121"/>
    </row>
    <row r="20" spans="1:33" x14ac:dyDescent="0.35">
      <c r="A20" s="93" t="s">
        <v>134</v>
      </c>
      <c r="B20" s="93" t="s">
        <v>11</v>
      </c>
      <c r="C20" s="104" t="s">
        <v>23</v>
      </c>
      <c r="D20" s="32">
        <v>0</v>
      </c>
      <c r="E20" s="33">
        <v>30000</v>
      </c>
      <c r="F20" s="4">
        <v>91.83</v>
      </c>
      <c r="G20" s="4">
        <v>1.63</v>
      </c>
      <c r="H20" s="4">
        <v>1</v>
      </c>
      <c r="I20" s="4">
        <v>1.2999999999999999E-2</v>
      </c>
      <c r="J20" s="4">
        <v>0.47</v>
      </c>
      <c r="K20" s="212">
        <v>8.4000000000000005E-2</v>
      </c>
      <c r="L20" s="4">
        <v>0.16400000000000001</v>
      </c>
      <c r="M20" s="4">
        <v>0</v>
      </c>
      <c r="N20" s="4">
        <v>0</v>
      </c>
      <c r="O20" s="4">
        <v>1E-3</v>
      </c>
      <c r="P20" s="20">
        <v>3.58</v>
      </c>
      <c r="Q20" s="20">
        <v>100</v>
      </c>
      <c r="R20" s="4">
        <v>7.0000000000000001E-3</v>
      </c>
      <c r="S20" s="4">
        <v>12.44</v>
      </c>
      <c r="T20" s="5">
        <v>38.51</v>
      </c>
      <c r="U20" s="4">
        <v>0</v>
      </c>
      <c r="V20" s="124">
        <v>0</v>
      </c>
      <c r="W20" s="4">
        <v>108.72000000000001</v>
      </c>
      <c r="X20" s="124"/>
      <c r="Y20" s="125"/>
      <c r="Z20" s="126"/>
      <c r="AA20" s="124"/>
      <c r="AB20" s="124"/>
      <c r="AC20" s="124"/>
      <c r="AD20" s="125"/>
      <c r="AE20" s="126"/>
      <c r="AF20" s="124"/>
      <c r="AG20" s="124"/>
    </row>
    <row r="21" spans="1:33" s="13" customFormat="1" ht="15" customHeight="1" x14ac:dyDescent="0.3">
      <c r="A21" s="94" t="s">
        <v>134</v>
      </c>
      <c r="B21" s="94" t="s">
        <v>11</v>
      </c>
      <c r="C21" s="105" t="s">
        <v>40</v>
      </c>
      <c r="D21" s="34">
        <v>0</v>
      </c>
      <c r="E21" s="35">
        <v>60000</v>
      </c>
      <c r="F21" s="6">
        <v>54.64</v>
      </c>
      <c r="G21" s="6">
        <v>1.51</v>
      </c>
      <c r="H21" s="6">
        <v>0.35</v>
      </c>
      <c r="I21" s="6">
        <v>1.0333333333333333E-2</v>
      </c>
      <c r="J21" s="6">
        <v>0.4</v>
      </c>
      <c r="K21" s="213">
        <v>6.6000000000000003E-2</v>
      </c>
      <c r="L21" s="6">
        <v>0.4</v>
      </c>
      <c r="M21" s="6">
        <v>0</v>
      </c>
      <c r="N21" s="6">
        <v>0</v>
      </c>
      <c r="O21" s="6">
        <v>1E-3</v>
      </c>
      <c r="P21" s="21">
        <v>42.7</v>
      </c>
      <c r="Q21" s="21">
        <v>100</v>
      </c>
      <c r="R21" s="6">
        <v>1.1000000000000001</v>
      </c>
      <c r="S21" s="6">
        <v>53.29</v>
      </c>
      <c r="T21" s="7">
        <v>22.93</v>
      </c>
      <c r="U21" s="6">
        <v>4</v>
      </c>
      <c r="V21" s="127">
        <v>0</v>
      </c>
      <c r="W21" s="6">
        <v>28.245752657516729</v>
      </c>
      <c r="X21" s="127"/>
      <c r="Y21" s="128"/>
      <c r="Z21" s="129"/>
      <c r="AA21" s="127"/>
      <c r="AB21" s="127"/>
      <c r="AC21" s="127"/>
      <c r="AD21" s="128"/>
      <c r="AE21" s="129"/>
      <c r="AF21" s="127"/>
      <c r="AG21" s="127"/>
    </row>
    <row r="22" spans="1:33" s="13" customFormat="1" ht="15" customHeight="1" x14ac:dyDescent="0.3">
      <c r="A22" s="94" t="s">
        <v>134</v>
      </c>
      <c r="B22" s="94" t="s">
        <v>11</v>
      </c>
      <c r="C22" s="105" t="s">
        <v>24</v>
      </c>
      <c r="D22" s="34">
        <f>E22</f>
        <v>0</v>
      </c>
      <c r="E22" s="35">
        <v>0</v>
      </c>
      <c r="F22" s="6">
        <v>34.004999999999995</v>
      </c>
      <c r="G22" s="6">
        <v>3.5549999999999997</v>
      </c>
      <c r="H22" s="6">
        <v>15.85</v>
      </c>
      <c r="I22" s="6">
        <v>0.04</v>
      </c>
      <c r="J22" s="6">
        <v>0.73499999999999999</v>
      </c>
      <c r="K22" s="213">
        <v>1.4999999999999999E-2</v>
      </c>
      <c r="L22" s="6">
        <v>0.54</v>
      </c>
      <c r="M22" s="6">
        <v>0</v>
      </c>
      <c r="N22" s="6">
        <v>0</v>
      </c>
      <c r="O22" s="6">
        <v>1E-3</v>
      </c>
      <c r="P22" s="21">
        <v>43.730000000000004</v>
      </c>
      <c r="Q22" s="21">
        <v>100</v>
      </c>
      <c r="R22" s="6">
        <v>1.575</v>
      </c>
      <c r="S22" s="6">
        <v>61.534999999999997</v>
      </c>
      <c r="T22" s="7">
        <v>7.125</v>
      </c>
      <c r="U22" s="6">
        <v>4</v>
      </c>
      <c r="V22" s="127">
        <v>0</v>
      </c>
      <c r="W22" s="6">
        <v>17.29250035598595</v>
      </c>
      <c r="X22" s="127"/>
      <c r="Y22" s="128"/>
      <c r="Z22" s="129"/>
      <c r="AA22" s="127"/>
      <c r="AB22" s="127"/>
      <c r="AC22" s="127"/>
      <c r="AD22" s="128"/>
      <c r="AE22" s="129"/>
      <c r="AF22" s="127"/>
      <c r="AG22" s="127"/>
    </row>
    <row r="23" spans="1:33" s="13" customFormat="1" ht="15" customHeight="1" x14ac:dyDescent="0.3">
      <c r="A23" s="94" t="s">
        <v>134</v>
      </c>
      <c r="B23" s="94" t="s">
        <v>11</v>
      </c>
      <c r="C23" s="105" t="s">
        <v>25</v>
      </c>
      <c r="D23" s="34">
        <v>0</v>
      </c>
      <c r="E23" s="35">
        <v>1000</v>
      </c>
      <c r="F23" s="6">
        <v>42.147888888888893</v>
      </c>
      <c r="G23" s="6">
        <v>3.7148888888888885</v>
      </c>
      <c r="H23" s="6">
        <v>9.7734444444444453</v>
      </c>
      <c r="I23" s="6">
        <v>0.4297777777777777</v>
      </c>
      <c r="J23" s="6">
        <v>0.622</v>
      </c>
      <c r="K23" s="213">
        <v>6.68888888888889E-2</v>
      </c>
      <c r="L23" s="6">
        <v>9.6335555555555565</v>
      </c>
      <c r="M23" s="6">
        <v>0</v>
      </c>
      <c r="N23" s="6">
        <v>0</v>
      </c>
      <c r="O23" s="6">
        <v>0.55000000000000004</v>
      </c>
      <c r="P23" s="21">
        <v>21.695555555555554</v>
      </c>
      <c r="Q23" s="21">
        <v>100</v>
      </c>
      <c r="R23" s="6">
        <v>6.23</v>
      </c>
      <c r="S23" s="6">
        <v>23.87</v>
      </c>
      <c r="T23" s="7">
        <v>31.01</v>
      </c>
      <c r="U23" s="6">
        <v>10</v>
      </c>
      <c r="V23" s="127">
        <v>0</v>
      </c>
      <c r="W23" s="6">
        <v>17.29250035598595</v>
      </c>
      <c r="X23" s="127"/>
      <c r="Y23" s="128"/>
      <c r="Z23" s="129"/>
      <c r="AA23" s="127"/>
      <c r="AB23" s="127"/>
      <c r="AC23" s="127"/>
      <c r="AD23" s="128"/>
      <c r="AE23" s="129"/>
      <c r="AF23" s="127"/>
      <c r="AG23" s="127"/>
    </row>
    <row r="24" spans="1:33" s="13" customFormat="1" ht="15" customHeight="1" x14ac:dyDescent="0.3">
      <c r="A24" s="94" t="s">
        <v>134</v>
      </c>
      <c r="B24" s="94" t="s">
        <v>11</v>
      </c>
      <c r="C24" s="105" t="s">
        <v>36</v>
      </c>
      <c r="D24" s="34">
        <v>0</v>
      </c>
      <c r="E24" s="35">
        <v>0</v>
      </c>
      <c r="F24" s="6">
        <v>32</v>
      </c>
      <c r="G24" s="6">
        <v>3</v>
      </c>
      <c r="H24" s="6">
        <v>18</v>
      </c>
      <c r="I24" s="6">
        <v>4.9000000000000002E-2</v>
      </c>
      <c r="J24" s="6">
        <v>1.2</v>
      </c>
      <c r="K24" s="213">
        <v>2.1700000000000001E-2</v>
      </c>
      <c r="L24" s="6">
        <v>0.6</v>
      </c>
      <c r="M24" s="6">
        <v>0</v>
      </c>
      <c r="N24" s="6">
        <v>0</v>
      </c>
      <c r="O24" s="6">
        <v>1.0000000000000001E-5</v>
      </c>
      <c r="P24" s="21">
        <v>44.7</v>
      </c>
      <c r="Q24" s="21">
        <v>100</v>
      </c>
      <c r="R24" s="6">
        <v>0.79</v>
      </c>
      <c r="S24" s="6">
        <v>5</v>
      </c>
      <c r="T24" s="7">
        <v>50</v>
      </c>
      <c r="U24" s="6">
        <v>0</v>
      </c>
      <c r="V24" s="127">
        <v>0</v>
      </c>
      <c r="W24" s="6">
        <v>17.29250035598595</v>
      </c>
      <c r="X24" s="127"/>
      <c r="Y24" s="128"/>
      <c r="Z24" s="129"/>
      <c r="AA24" s="127"/>
      <c r="AB24" s="127"/>
      <c r="AC24" s="127"/>
      <c r="AD24" s="128"/>
      <c r="AE24" s="129"/>
      <c r="AF24" s="127"/>
      <c r="AG24" s="127"/>
    </row>
    <row r="25" spans="1:33" s="13" customFormat="1" ht="15" customHeight="1" x14ac:dyDescent="0.3">
      <c r="A25" s="94" t="s">
        <v>134</v>
      </c>
      <c r="B25" s="94" t="s">
        <v>11</v>
      </c>
      <c r="C25" s="105" t="s">
        <v>26</v>
      </c>
      <c r="D25" s="34">
        <v>0</v>
      </c>
      <c r="E25" s="35">
        <v>20000</v>
      </c>
      <c r="F25" s="6">
        <v>0.36</v>
      </c>
      <c r="G25" s="6">
        <v>2.61</v>
      </c>
      <c r="H25" s="6">
        <v>44.59</v>
      </c>
      <c r="I25" s="6">
        <v>0.37</v>
      </c>
      <c r="J25" s="6">
        <v>0.56999999999999995</v>
      </c>
      <c r="K25" s="213">
        <v>3.0000000000000001E-3</v>
      </c>
      <c r="L25" s="6">
        <v>2.11</v>
      </c>
      <c r="M25" s="6">
        <v>0</v>
      </c>
      <c r="N25" s="6">
        <v>0</v>
      </c>
      <c r="O25" s="6">
        <v>9.9999999999999995E-7</v>
      </c>
      <c r="P25" s="21">
        <v>47.3</v>
      </c>
      <c r="Q25" s="21">
        <v>100</v>
      </c>
      <c r="R25" s="6">
        <v>4.6500000000000004</v>
      </c>
      <c r="S25" s="6">
        <v>50.1</v>
      </c>
      <c r="T25" s="7">
        <v>11.19</v>
      </c>
      <c r="U25" s="6">
        <v>3</v>
      </c>
      <c r="V25" s="127">
        <v>0</v>
      </c>
      <c r="W25" s="6">
        <v>74.20515813976823</v>
      </c>
      <c r="X25" s="127"/>
      <c r="Y25" s="128"/>
      <c r="Z25" s="129"/>
      <c r="AA25" s="127"/>
      <c r="AB25" s="127"/>
      <c r="AC25" s="127"/>
      <c r="AD25" s="128"/>
      <c r="AE25" s="129"/>
      <c r="AF25" s="127"/>
      <c r="AG25" s="127"/>
    </row>
    <row r="26" spans="1:33" s="13" customFormat="1" ht="15" customHeight="1" x14ac:dyDescent="0.3">
      <c r="A26" s="94" t="s">
        <v>134</v>
      </c>
      <c r="B26" s="94" t="s">
        <v>11</v>
      </c>
      <c r="C26" s="105" t="s">
        <v>27</v>
      </c>
      <c r="D26" s="34">
        <f>E26</f>
        <v>389.18236229268183</v>
      </c>
      <c r="E26" s="35">
        <f>0.001*PROCESSO_MS!$D$2</f>
        <v>389.18236229268183</v>
      </c>
      <c r="F26" s="6">
        <v>92.632562500000006</v>
      </c>
      <c r="G26" s="6">
        <v>1.9756562500000001</v>
      </c>
      <c r="H26" s="6">
        <v>1.0611250000000001</v>
      </c>
      <c r="I26" s="6">
        <v>1.2093750000000006E-2</v>
      </c>
      <c r="J26" s="6">
        <v>0.43396875000000007</v>
      </c>
      <c r="K26" s="213">
        <v>7.8875000000000001E-2</v>
      </c>
      <c r="L26" s="6">
        <v>0.19759375000000004</v>
      </c>
      <c r="M26" s="6">
        <v>0</v>
      </c>
      <c r="N26" s="6">
        <v>0</v>
      </c>
      <c r="O26" s="6">
        <v>1E-3</v>
      </c>
      <c r="P26" s="65">
        <v>3.8075000000000001</v>
      </c>
      <c r="Q26" s="65">
        <v>100</v>
      </c>
      <c r="R26" s="67">
        <v>7.5874999999999998E-2</v>
      </c>
      <c r="S26" s="67">
        <v>23.441468750000002</v>
      </c>
      <c r="T26" s="66">
        <v>36.265406250000005</v>
      </c>
      <c r="U26" s="6">
        <v>0</v>
      </c>
      <c r="V26" s="127">
        <v>0</v>
      </c>
      <c r="W26" s="6">
        <f>W20*75%</f>
        <v>81.540000000000006</v>
      </c>
      <c r="X26" s="127"/>
      <c r="Y26" s="128"/>
      <c r="Z26" s="129"/>
      <c r="AA26" s="127"/>
      <c r="AB26" s="127"/>
      <c r="AC26" s="127"/>
      <c r="AD26" s="128"/>
      <c r="AE26" s="129"/>
      <c r="AF26" s="127"/>
      <c r="AG26" s="127"/>
    </row>
    <row r="27" spans="1:33" x14ac:dyDescent="0.35">
      <c r="A27" s="95" t="s">
        <v>134</v>
      </c>
      <c r="B27" s="95" t="s">
        <v>158</v>
      </c>
      <c r="C27" s="95" t="s">
        <v>28</v>
      </c>
      <c r="D27" s="36">
        <v>0</v>
      </c>
      <c r="E27" s="43">
        <v>7489.1260273972603</v>
      </c>
      <c r="F27" s="9">
        <v>0.34031353333333331</v>
      </c>
      <c r="G27" s="9">
        <v>5.9289999999999967</v>
      </c>
      <c r="H27" s="9">
        <v>9.8831516666666674E-2</v>
      </c>
      <c r="I27" s="9">
        <v>4.6497527566714131E-3</v>
      </c>
      <c r="J27" s="9">
        <v>3.2709352666666662</v>
      </c>
      <c r="K27" s="214">
        <v>0.18667425469895191</v>
      </c>
      <c r="L27" s="9">
        <v>0.74740726394288381</v>
      </c>
      <c r="M27" s="9">
        <v>0</v>
      </c>
      <c r="N27" s="9">
        <v>0</v>
      </c>
      <c r="O27" s="9">
        <v>80.150000000000006</v>
      </c>
      <c r="P27" s="22">
        <v>92.25</v>
      </c>
      <c r="Q27" s="22">
        <v>0</v>
      </c>
      <c r="R27" s="9">
        <v>0</v>
      </c>
      <c r="S27" s="9">
        <v>0</v>
      </c>
      <c r="T27" s="10">
        <v>0</v>
      </c>
      <c r="U27" s="9">
        <v>0</v>
      </c>
      <c r="V27" s="130">
        <v>0</v>
      </c>
      <c r="W27" s="8">
        <v>156.81999999999996</v>
      </c>
      <c r="X27" s="130"/>
      <c r="Y27" s="130"/>
      <c r="Z27" s="130"/>
      <c r="AA27" s="130"/>
      <c r="AB27" s="131"/>
      <c r="AC27" s="130"/>
      <c r="AD27" s="130"/>
      <c r="AE27" s="130"/>
      <c r="AF27" s="130"/>
      <c r="AG27" s="131"/>
    </row>
    <row r="28" spans="1:33" x14ac:dyDescent="0.35">
      <c r="A28" s="96" t="s">
        <v>134</v>
      </c>
      <c r="B28" s="96" t="s">
        <v>158</v>
      </c>
      <c r="C28" s="96" t="s">
        <v>157</v>
      </c>
      <c r="D28" s="37">
        <v>0</v>
      </c>
      <c r="E28" s="44">
        <v>200000</v>
      </c>
      <c r="F28" s="39">
        <v>0.34031353333333331</v>
      </c>
      <c r="G28" s="39">
        <v>7.2519999999999998</v>
      </c>
      <c r="H28" s="39">
        <v>9.8831516666666674E-2</v>
      </c>
      <c r="I28" s="39">
        <v>4.6497527566714131E-3</v>
      </c>
      <c r="J28" s="39">
        <v>3.2709352666666662</v>
      </c>
      <c r="K28" s="215">
        <v>0.18667425469895191</v>
      </c>
      <c r="L28" s="39">
        <v>0.74740726394288381</v>
      </c>
      <c r="M28" s="39">
        <v>0</v>
      </c>
      <c r="N28" s="39">
        <v>0</v>
      </c>
      <c r="O28" s="39">
        <v>79.7</v>
      </c>
      <c r="P28" s="23">
        <v>94.5</v>
      </c>
      <c r="Q28" s="23">
        <v>0</v>
      </c>
      <c r="R28" s="39">
        <v>0</v>
      </c>
      <c r="S28" s="39">
        <v>0</v>
      </c>
      <c r="T28" s="12">
        <v>0</v>
      </c>
      <c r="U28" s="39">
        <v>0</v>
      </c>
      <c r="V28" s="132">
        <v>0</v>
      </c>
      <c r="W28" s="11">
        <v>176.83526732803654</v>
      </c>
      <c r="X28" s="132"/>
      <c r="Y28" s="132"/>
      <c r="Z28" s="132"/>
      <c r="AA28" s="132"/>
      <c r="AB28" s="133"/>
      <c r="AC28" s="132"/>
      <c r="AD28" s="132"/>
      <c r="AE28" s="132"/>
      <c r="AF28" s="132"/>
      <c r="AG28" s="133"/>
    </row>
    <row r="29" spans="1:33" x14ac:dyDescent="0.35">
      <c r="A29" s="96" t="s">
        <v>134</v>
      </c>
      <c r="B29" s="96" t="s">
        <v>158</v>
      </c>
      <c r="C29" s="96" t="s">
        <v>29</v>
      </c>
      <c r="D29" s="37">
        <v>0</v>
      </c>
      <c r="E29" s="44">
        <v>499</v>
      </c>
      <c r="F29" s="39">
        <v>0.28999999999999998</v>
      </c>
      <c r="G29" s="39">
        <v>1.5</v>
      </c>
      <c r="H29" s="39">
        <v>0.13</v>
      </c>
      <c r="I29" s="39">
        <v>0.01</v>
      </c>
      <c r="J29" s="39">
        <v>3.85</v>
      </c>
      <c r="K29" s="215">
        <v>3.2000000000000001E-2</v>
      </c>
      <c r="L29" s="39">
        <v>0.7</v>
      </c>
      <c r="M29" s="39">
        <v>0</v>
      </c>
      <c r="N29" s="39">
        <v>0</v>
      </c>
      <c r="O29" s="39">
        <v>80.88</v>
      </c>
      <c r="P29" s="23">
        <v>89.680999999999997</v>
      </c>
      <c r="Q29" s="23">
        <v>0</v>
      </c>
      <c r="R29" s="39">
        <v>0</v>
      </c>
      <c r="S29" s="39">
        <v>0</v>
      </c>
      <c r="T29" s="12">
        <v>0</v>
      </c>
      <c r="U29" s="39">
        <v>0</v>
      </c>
      <c r="V29" s="132">
        <v>0</v>
      </c>
      <c r="W29" s="11">
        <v>25.310000000000002</v>
      </c>
      <c r="X29" s="132"/>
      <c r="Y29" s="132"/>
      <c r="Z29" s="132"/>
      <c r="AA29" s="132"/>
      <c r="AB29" s="133"/>
      <c r="AC29" s="132"/>
      <c r="AD29" s="132"/>
      <c r="AE29" s="132"/>
      <c r="AF29" s="132"/>
      <c r="AG29" s="133"/>
    </row>
    <row r="30" spans="1:33" x14ac:dyDescent="0.35">
      <c r="A30" s="97" t="s">
        <v>134</v>
      </c>
      <c r="B30" s="97" t="s">
        <v>158</v>
      </c>
      <c r="C30" s="97" t="s">
        <v>41</v>
      </c>
      <c r="D30" s="45">
        <v>0</v>
      </c>
      <c r="E30" s="46">
        <v>70</v>
      </c>
      <c r="F30" s="40">
        <v>0.28999999999999998</v>
      </c>
      <c r="G30" s="40">
        <v>6.12</v>
      </c>
      <c r="H30" s="40">
        <v>0.13</v>
      </c>
      <c r="I30" s="40">
        <v>0.01</v>
      </c>
      <c r="J30" s="40">
        <v>3.85</v>
      </c>
      <c r="K30" s="216">
        <v>3.2000000000000001E-2</v>
      </c>
      <c r="L30" s="40">
        <v>0.7</v>
      </c>
      <c r="M30" s="40">
        <v>0</v>
      </c>
      <c r="N30" s="40">
        <v>0</v>
      </c>
      <c r="O30" s="40">
        <v>80.88</v>
      </c>
      <c r="P30" s="48">
        <v>88.5</v>
      </c>
      <c r="Q30" s="48">
        <v>0</v>
      </c>
      <c r="R30" s="40">
        <v>0</v>
      </c>
      <c r="S30" s="40">
        <v>0</v>
      </c>
      <c r="T30" s="41">
        <v>0</v>
      </c>
      <c r="U30" s="40">
        <v>0</v>
      </c>
      <c r="V30" s="134">
        <v>0</v>
      </c>
      <c r="W30" s="47">
        <v>25.310000000000002</v>
      </c>
      <c r="X30" s="134"/>
      <c r="Y30" s="134"/>
      <c r="Z30" s="134"/>
      <c r="AA30" s="134"/>
      <c r="AB30" s="135"/>
      <c r="AC30" s="134"/>
      <c r="AD30" s="134"/>
      <c r="AE30" s="134"/>
      <c r="AF30" s="134"/>
      <c r="AG30" s="135"/>
    </row>
    <row r="31" spans="1:33" x14ac:dyDescent="0.35">
      <c r="A31" s="141" t="s">
        <v>135</v>
      </c>
      <c r="B31" s="108" t="s">
        <v>94</v>
      </c>
      <c r="C31" s="108" t="s">
        <v>149</v>
      </c>
      <c r="D31" s="142">
        <v>0</v>
      </c>
      <c r="E31" s="109">
        <f>PROCESSO_MS!B23</f>
        <v>190628.59498203732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1">
        <v>0</v>
      </c>
      <c r="L31" s="110">
        <v>0</v>
      </c>
      <c r="M31" s="111">
        <v>0</v>
      </c>
      <c r="N31" s="111">
        <v>0</v>
      </c>
      <c r="O31" s="111">
        <v>0</v>
      </c>
      <c r="P31" s="112">
        <v>0</v>
      </c>
      <c r="Q31" s="143">
        <v>0</v>
      </c>
      <c r="R31" s="143">
        <v>0</v>
      </c>
      <c r="S31" s="110">
        <v>0</v>
      </c>
      <c r="T31" s="113">
        <v>0</v>
      </c>
      <c r="U31" s="143">
        <v>0</v>
      </c>
      <c r="V31" s="146">
        <v>0</v>
      </c>
      <c r="W31" s="112">
        <v>0</v>
      </c>
      <c r="X31" s="149"/>
      <c r="Y31" s="146"/>
      <c r="Z31" s="146"/>
      <c r="AA31" s="146"/>
      <c r="AB31" s="146"/>
      <c r="AC31" s="146"/>
      <c r="AD31" s="146"/>
      <c r="AE31" s="146"/>
      <c r="AF31" s="146"/>
      <c r="AG31" s="146"/>
    </row>
    <row r="32" spans="1:33" x14ac:dyDescent="0.35">
      <c r="A32" s="139" t="s">
        <v>135</v>
      </c>
      <c r="B32" s="98" t="s">
        <v>94</v>
      </c>
      <c r="C32" s="98" t="s">
        <v>47</v>
      </c>
      <c r="D32" s="138">
        <v>0</v>
      </c>
      <c r="E32" s="138">
        <f>PROCESSO_MS!C23</f>
        <v>143545.1019174988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6">
        <v>0</v>
      </c>
      <c r="L32" s="75">
        <v>0</v>
      </c>
      <c r="M32" s="76">
        <v>0</v>
      </c>
      <c r="N32" s="76">
        <v>0</v>
      </c>
      <c r="O32" s="76">
        <v>0</v>
      </c>
      <c r="P32" s="77">
        <v>0</v>
      </c>
      <c r="Q32" s="144">
        <v>0</v>
      </c>
      <c r="R32" s="144">
        <v>0</v>
      </c>
      <c r="S32" s="75">
        <v>0</v>
      </c>
      <c r="T32" s="78">
        <v>0</v>
      </c>
      <c r="U32" s="144">
        <v>0</v>
      </c>
      <c r="V32" s="147">
        <v>0</v>
      </c>
      <c r="W32" s="77">
        <v>0</v>
      </c>
      <c r="X32" s="150"/>
      <c r="Y32" s="147"/>
      <c r="Z32" s="147"/>
      <c r="AA32" s="147"/>
      <c r="AB32" s="147"/>
      <c r="AC32" s="147"/>
      <c r="AD32" s="147"/>
      <c r="AE32" s="147"/>
      <c r="AF32" s="147"/>
      <c r="AG32" s="147"/>
    </row>
    <row r="33" spans="1:33" x14ac:dyDescent="0.35">
      <c r="A33" s="139" t="s">
        <v>135</v>
      </c>
      <c r="B33" s="98" t="s">
        <v>94</v>
      </c>
      <c r="C33" s="98" t="s">
        <v>207</v>
      </c>
      <c r="D33" s="138">
        <v>0</v>
      </c>
      <c r="E33" s="138">
        <f>IF(PROCESSO_MS!D27&lt;0,(PROCESSO_MS!D27*-1),(0))</f>
        <v>0</v>
      </c>
      <c r="F33" s="75">
        <v>10.939286997681389</v>
      </c>
      <c r="G33" s="75">
        <v>6.1982615427310011</v>
      </c>
      <c r="H33" s="75">
        <v>1.3482373963381269</v>
      </c>
      <c r="I33" s="75">
        <v>0.29272800775997521</v>
      </c>
      <c r="J33" s="75">
        <v>1.6946243325986561</v>
      </c>
      <c r="K33" s="76">
        <v>8.9617270579994968E-2</v>
      </c>
      <c r="L33" s="75">
        <v>55.692336294413927</v>
      </c>
      <c r="M33" s="76">
        <v>0</v>
      </c>
      <c r="N33" s="76">
        <v>0</v>
      </c>
      <c r="O33" s="76">
        <v>0</v>
      </c>
      <c r="P33" s="77">
        <v>0</v>
      </c>
      <c r="Q33" s="144">
        <v>0</v>
      </c>
      <c r="R33" s="144">
        <v>0</v>
      </c>
      <c r="S33" s="75">
        <v>0</v>
      </c>
      <c r="T33" s="78">
        <v>0</v>
      </c>
      <c r="U33" s="144">
        <v>0</v>
      </c>
      <c r="V33" s="147">
        <v>0</v>
      </c>
      <c r="W33" s="77">
        <v>87</v>
      </c>
      <c r="X33" s="150"/>
      <c r="Y33" s="147"/>
      <c r="Z33" s="147"/>
      <c r="AA33" s="147"/>
      <c r="AB33" s="147"/>
      <c r="AC33" s="147"/>
      <c r="AD33" s="147"/>
      <c r="AE33" s="147"/>
      <c r="AF33" s="147"/>
      <c r="AG33" s="147"/>
    </row>
    <row r="34" spans="1:33" x14ac:dyDescent="0.35">
      <c r="A34" s="220" t="s">
        <v>135</v>
      </c>
      <c r="B34" s="99" t="s">
        <v>94</v>
      </c>
      <c r="C34" s="99" t="s">
        <v>208</v>
      </c>
      <c r="D34" s="140">
        <v>0</v>
      </c>
      <c r="E34" s="140">
        <f>IF(PROCESSO_MS!D27&lt;0,(0),(PROCESSO_MS!D27))</f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8">
        <v>0</v>
      </c>
      <c r="L34" s="87">
        <v>0</v>
      </c>
      <c r="M34" s="88">
        <v>0</v>
      </c>
      <c r="N34" s="88">
        <v>0</v>
      </c>
      <c r="O34" s="88">
        <v>0</v>
      </c>
      <c r="P34" s="79">
        <v>0</v>
      </c>
      <c r="Q34" s="145">
        <v>0</v>
      </c>
      <c r="R34" s="145">
        <v>0</v>
      </c>
      <c r="S34" s="87">
        <v>0</v>
      </c>
      <c r="T34" s="80">
        <v>0</v>
      </c>
      <c r="U34" s="145">
        <v>0</v>
      </c>
      <c r="V34" s="148">
        <v>0</v>
      </c>
      <c r="W34" s="79">
        <v>0</v>
      </c>
      <c r="X34" s="151"/>
      <c r="Y34" s="148"/>
      <c r="Z34" s="148"/>
      <c r="AA34" s="148"/>
      <c r="AB34" s="148"/>
      <c r="AC34" s="148"/>
      <c r="AD34" s="148"/>
      <c r="AE34" s="148"/>
      <c r="AF34" s="148"/>
      <c r="AG34" s="148"/>
    </row>
    <row r="35" spans="1:33" x14ac:dyDescent="0.35">
      <c r="A35" s="98" t="s">
        <v>135</v>
      </c>
      <c r="B35" s="98" t="s">
        <v>88</v>
      </c>
      <c r="C35" s="106" t="s">
        <v>86</v>
      </c>
      <c r="D35" s="73">
        <v>0</v>
      </c>
      <c r="E35" s="74">
        <v>0</v>
      </c>
      <c r="F35" s="75">
        <v>0.16</v>
      </c>
      <c r="G35" s="75">
        <v>2.83</v>
      </c>
      <c r="H35" s="75">
        <v>0.182</v>
      </c>
      <c r="I35" s="75">
        <v>7.0000000000000007E-2</v>
      </c>
      <c r="J35" s="75">
        <v>3.01</v>
      </c>
      <c r="K35" s="76">
        <v>0.1023</v>
      </c>
      <c r="L35" s="75">
        <v>61.14</v>
      </c>
      <c r="M35" s="76">
        <v>0.01</v>
      </c>
      <c r="N35" s="76">
        <v>0.17499999999999999</v>
      </c>
      <c r="O35" s="76">
        <v>0</v>
      </c>
      <c r="P35" s="77">
        <v>6.12</v>
      </c>
      <c r="Q35" s="77">
        <v>15.22</v>
      </c>
      <c r="R35" s="75">
        <v>0</v>
      </c>
      <c r="S35" s="75">
        <v>0</v>
      </c>
      <c r="T35" s="78">
        <v>0</v>
      </c>
      <c r="U35" s="75">
        <v>6.8</v>
      </c>
      <c r="V35" s="147">
        <v>0</v>
      </c>
      <c r="W35" s="78">
        <v>99.67</v>
      </c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</row>
    <row r="36" spans="1:33" x14ac:dyDescent="0.35">
      <c r="A36" s="98" t="s">
        <v>135</v>
      </c>
      <c r="B36" s="98" t="s">
        <v>88</v>
      </c>
      <c r="C36" s="106" t="s">
        <v>87</v>
      </c>
      <c r="D36" s="73">
        <v>0</v>
      </c>
      <c r="E36" s="74">
        <v>0</v>
      </c>
      <c r="F36" s="75">
        <v>1.9E-2</v>
      </c>
      <c r="G36" s="75">
        <v>3.1243333333333339</v>
      </c>
      <c r="H36" s="75">
        <v>2.7E-2</v>
      </c>
      <c r="I36" s="75">
        <v>6.2833333333333338E-2</v>
      </c>
      <c r="J36" s="75">
        <v>3.5426666666666669</v>
      </c>
      <c r="K36" s="76">
        <v>0.11933333333333333</v>
      </c>
      <c r="L36" s="75">
        <v>60.078333333333326</v>
      </c>
      <c r="M36" s="76">
        <v>0.01</v>
      </c>
      <c r="N36" s="76">
        <v>0.19</v>
      </c>
      <c r="O36" s="76">
        <v>0</v>
      </c>
      <c r="P36" s="77">
        <v>6.74</v>
      </c>
      <c r="Q36" s="77">
        <v>17.967666666666666</v>
      </c>
      <c r="R36" s="75">
        <v>0</v>
      </c>
      <c r="S36" s="75">
        <v>0</v>
      </c>
      <c r="T36" s="78">
        <v>0</v>
      </c>
      <c r="U36" s="75">
        <v>7.36</v>
      </c>
      <c r="V36" s="147">
        <v>0</v>
      </c>
      <c r="W36" s="78">
        <v>101.49</v>
      </c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</row>
    <row r="37" spans="1:33" x14ac:dyDescent="0.35">
      <c r="A37" s="98" t="s">
        <v>135</v>
      </c>
      <c r="B37" s="98" t="s">
        <v>88</v>
      </c>
      <c r="C37" s="106" t="s">
        <v>89</v>
      </c>
      <c r="D37" s="73">
        <v>0</v>
      </c>
      <c r="E37" s="74">
        <v>12000</v>
      </c>
      <c r="F37" s="75">
        <v>0.05</v>
      </c>
      <c r="G37" s="75">
        <v>8.1784199430199429</v>
      </c>
      <c r="H37" s="75">
        <v>0.05</v>
      </c>
      <c r="I37" s="75">
        <v>0.28000000000000003</v>
      </c>
      <c r="J37" s="75">
        <v>3.03</v>
      </c>
      <c r="K37" s="76">
        <v>9.4104131054131041E-2</v>
      </c>
      <c r="L37" s="75">
        <v>58.013382122507132</v>
      </c>
      <c r="M37" s="76">
        <v>0.01</v>
      </c>
      <c r="N37" s="76">
        <v>0.04</v>
      </c>
      <c r="O37" s="76">
        <v>0</v>
      </c>
      <c r="P37" s="77">
        <v>4.95</v>
      </c>
      <c r="Q37" s="77">
        <v>19.292966666666665</v>
      </c>
      <c r="R37" s="75">
        <v>0</v>
      </c>
      <c r="S37" s="75">
        <v>0</v>
      </c>
      <c r="T37" s="78">
        <v>0</v>
      </c>
      <c r="U37" s="75">
        <v>6.4</v>
      </c>
      <c r="V37" s="147">
        <v>0</v>
      </c>
      <c r="W37" s="78">
        <v>78.63</v>
      </c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</row>
    <row r="38" spans="1:33" x14ac:dyDescent="0.35">
      <c r="A38" s="98" t="s">
        <v>135</v>
      </c>
      <c r="B38" s="98" t="s">
        <v>88</v>
      </c>
      <c r="C38" s="106" t="s">
        <v>90</v>
      </c>
      <c r="D38" s="73">
        <v>0</v>
      </c>
      <c r="E38" s="74">
        <v>15000</v>
      </c>
      <c r="F38" s="75">
        <v>0.09</v>
      </c>
      <c r="G38" s="75">
        <v>1.64</v>
      </c>
      <c r="H38" s="75">
        <v>0.03</v>
      </c>
      <c r="I38" s="75">
        <v>2.1</v>
      </c>
      <c r="J38" s="75">
        <v>4.13</v>
      </c>
      <c r="K38" s="76">
        <v>0.08</v>
      </c>
      <c r="L38" s="75">
        <v>58.63</v>
      </c>
      <c r="M38" s="76">
        <v>0.01</v>
      </c>
      <c r="N38" s="76">
        <v>0.08</v>
      </c>
      <c r="O38" s="76">
        <v>0</v>
      </c>
      <c r="P38" s="77">
        <v>7.19</v>
      </c>
      <c r="Q38" s="77">
        <v>18.21</v>
      </c>
      <c r="R38" s="75">
        <v>0</v>
      </c>
      <c r="S38" s="75">
        <v>0</v>
      </c>
      <c r="T38" s="78">
        <v>0</v>
      </c>
      <c r="U38" s="75">
        <v>6.3</v>
      </c>
      <c r="V38" s="147">
        <v>0</v>
      </c>
      <c r="W38" s="78">
        <v>89.08</v>
      </c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</row>
    <row r="39" spans="1:33" x14ac:dyDescent="0.35">
      <c r="A39" s="98" t="s">
        <v>135</v>
      </c>
      <c r="B39" s="98" t="s">
        <v>88</v>
      </c>
      <c r="C39" s="106" t="s">
        <v>165</v>
      </c>
      <c r="D39" s="73">
        <v>0</v>
      </c>
      <c r="E39" s="74">
        <v>0</v>
      </c>
      <c r="F39" s="75">
        <v>0.02</v>
      </c>
      <c r="G39" s="75">
        <v>13.53</v>
      </c>
      <c r="H39" s="75">
        <v>0.03</v>
      </c>
      <c r="I39" s="75">
        <v>0.99</v>
      </c>
      <c r="J39" s="75">
        <v>0.82</v>
      </c>
      <c r="K39" s="76">
        <v>0.03</v>
      </c>
      <c r="L39" s="75">
        <v>53.89</v>
      </c>
      <c r="M39" s="76">
        <v>0.01</v>
      </c>
      <c r="N39" s="76">
        <v>0.19</v>
      </c>
      <c r="O39" s="76">
        <v>0</v>
      </c>
      <c r="P39" s="77">
        <v>2.71</v>
      </c>
      <c r="Q39" s="77">
        <v>11.3</v>
      </c>
      <c r="R39" s="75">
        <v>0</v>
      </c>
      <c r="S39" s="75">
        <v>0</v>
      </c>
      <c r="T39" s="78">
        <v>0</v>
      </c>
      <c r="U39" s="75">
        <v>8</v>
      </c>
      <c r="V39" s="147">
        <v>0</v>
      </c>
      <c r="W39" s="78">
        <v>74.944999999999993</v>
      </c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</row>
    <row r="40" spans="1:33" x14ac:dyDescent="0.35">
      <c r="A40" s="98" t="s">
        <v>135</v>
      </c>
      <c r="B40" s="98" t="s">
        <v>88</v>
      </c>
      <c r="C40" s="106" t="s">
        <v>91</v>
      </c>
      <c r="D40" s="73">
        <v>30000</v>
      </c>
      <c r="E40" s="74">
        <v>30000</v>
      </c>
      <c r="F40" s="75">
        <v>0.16</v>
      </c>
      <c r="G40" s="75">
        <v>6.49</v>
      </c>
      <c r="H40" s="75">
        <v>0.18</v>
      </c>
      <c r="I40" s="75">
        <v>0.17</v>
      </c>
      <c r="J40" s="75">
        <v>2</v>
      </c>
      <c r="K40" s="76">
        <v>7.5399999999999995E-2</v>
      </c>
      <c r="L40" s="75">
        <v>59.78</v>
      </c>
      <c r="M40" s="76">
        <v>0.01</v>
      </c>
      <c r="N40" s="76">
        <v>0.04</v>
      </c>
      <c r="O40" s="76">
        <v>0</v>
      </c>
      <c r="P40" s="77">
        <v>5.52</v>
      </c>
      <c r="Q40" s="77">
        <v>15.94</v>
      </c>
      <c r="R40" s="75">
        <v>0</v>
      </c>
      <c r="S40" s="75">
        <v>0</v>
      </c>
      <c r="T40" s="78">
        <v>0</v>
      </c>
      <c r="U40" s="75">
        <v>7.3</v>
      </c>
      <c r="V40" s="147">
        <v>0</v>
      </c>
      <c r="W40" s="78">
        <v>95.05</v>
      </c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</row>
    <row r="41" spans="1:33" x14ac:dyDescent="0.35">
      <c r="A41" s="98" t="s">
        <v>135</v>
      </c>
      <c r="B41" s="98" t="s">
        <v>88</v>
      </c>
      <c r="C41" s="106" t="s">
        <v>212</v>
      </c>
      <c r="D41" s="73">
        <v>0</v>
      </c>
      <c r="E41" s="74">
        <v>0</v>
      </c>
      <c r="F41" s="75">
        <v>0.05</v>
      </c>
      <c r="G41" s="75">
        <v>7.5</v>
      </c>
      <c r="H41" s="75">
        <v>0.05</v>
      </c>
      <c r="I41" s="75">
        <v>0.15</v>
      </c>
      <c r="J41" s="75">
        <v>1.5</v>
      </c>
      <c r="K41" s="76">
        <v>0.04</v>
      </c>
      <c r="L41" s="75">
        <v>62</v>
      </c>
      <c r="M41" s="76">
        <v>0.01</v>
      </c>
      <c r="N41" s="76">
        <v>0.04</v>
      </c>
      <c r="O41" s="76">
        <v>0</v>
      </c>
      <c r="P41" s="77">
        <v>1.5</v>
      </c>
      <c r="Q41" s="77">
        <v>18</v>
      </c>
      <c r="R41" s="75">
        <v>0</v>
      </c>
      <c r="S41" s="75">
        <v>0</v>
      </c>
      <c r="T41" s="78">
        <v>0</v>
      </c>
      <c r="U41" s="75">
        <v>5</v>
      </c>
      <c r="V41" s="147">
        <v>0</v>
      </c>
      <c r="W41" s="78">
        <v>100.57</v>
      </c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</row>
    <row r="42" spans="1:33" x14ac:dyDescent="0.35">
      <c r="A42" s="98" t="s">
        <v>135</v>
      </c>
      <c r="B42" s="98" t="s">
        <v>88</v>
      </c>
      <c r="C42" s="106" t="s">
        <v>213</v>
      </c>
      <c r="D42" s="73">
        <v>0</v>
      </c>
      <c r="E42" s="74">
        <v>0</v>
      </c>
      <c r="F42" s="75">
        <v>0.05</v>
      </c>
      <c r="G42" s="75">
        <v>2.1</v>
      </c>
      <c r="H42" s="75">
        <v>0.05</v>
      </c>
      <c r="I42" s="75">
        <v>0.13</v>
      </c>
      <c r="J42" s="75">
        <v>1.8</v>
      </c>
      <c r="K42" s="76">
        <v>7.0000000000000007E-2</v>
      </c>
      <c r="L42" s="75">
        <v>64.5</v>
      </c>
      <c r="M42" s="76">
        <v>0.01</v>
      </c>
      <c r="N42" s="76">
        <v>0.04</v>
      </c>
      <c r="O42" s="76">
        <v>0</v>
      </c>
      <c r="P42" s="77">
        <v>2.7</v>
      </c>
      <c r="Q42" s="77">
        <v>18</v>
      </c>
      <c r="R42" s="75">
        <v>0</v>
      </c>
      <c r="S42" s="75">
        <v>0</v>
      </c>
      <c r="T42" s="78">
        <v>0</v>
      </c>
      <c r="U42" s="75">
        <v>2.5</v>
      </c>
      <c r="V42" s="147">
        <v>0</v>
      </c>
      <c r="W42" s="78">
        <v>113.47</v>
      </c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</row>
    <row r="43" spans="1:33" x14ac:dyDescent="0.35">
      <c r="A43" s="98" t="s">
        <v>135</v>
      </c>
      <c r="B43" s="98" t="s">
        <v>88</v>
      </c>
      <c r="C43" s="221" t="s">
        <v>215</v>
      </c>
      <c r="D43" s="73">
        <v>0</v>
      </c>
      <c r="E43" s="74">
        <v>15000</v>
      </c>
      <c r="F43" s="75">
        <v>0.05</v>
      </c>
      <c r="G43" s="75">
        <v>1.8</v>
      </c>
      <c r="H43" s="75">
        <v>0.05</v>
      </c>
      <c r="I43" s="75">
        <v>0.4</v>
      </c>
      <c r="J43" s="75">
        <v>1.9</v>
      </c>
      <c r="K43" s="76">
        <v>0.1</v>
      </c>
      <c r="L43" s="75">
        <v>62</v>
      </c>
      <c r="M43" s="76">
        <v>0.01</v>
      </c>
      <c r="N43" s="76">
        <v>0.04</v>
      </c>
      <c r="O43" s="76">
        <v>0</v>
      </c>
      <c r="P43" s="77">
        <v>4.5</v>
      </c>
      <c r="Q43" s="77">
        <v>18</v>
      </c>
      <c r="R43" s="75">
        <v>0</v>
      </c>
      <c r="S43" s="75">
        <v>0</v>
      </c>
      <c r="T43" s="78">
        <v>0</v>
      </c>
      <c r="U43" s="75">
        <v>7</v>
      </c>
      <c r="V43" s="147">
        <v>0</v>
      </c>
      <c r="W43" s="78">
        <v>96.91</v>
      </c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</row>
    <row r="44" spans="1:33" x14ac:dyDescent="0.35">
      <c r="A44" s="98" t="s">
        <v>135</v>
      </c>
      <c r="B44" s="98" t="s">
        <v>88</v>
      </c>
      <c r="C44" s="106" t="s">
        <v>214</v>
      </c>
      <c r="D44" s="73">
        <v>0</v>
      </c>
      <c r="E44" s="74">
        <v>25000</v>
      </c>
      <c r="F44" s="75">
        <v>0.05</v>
      </c>
      <c r="G44" s="75">
        <v>4</v>
      </c>
      <c r="H44" s="75">
        <v>0.05</v>
      </c>
      <c r="I44" s="75">
        <v>0.15</v>
      </c>
      <c r="J44" s="75">
        <v>3</v>
      </c>
      <c r="K44" s="76">
        <v>0.15</v>
      </c>
      <c r="L44" s="75">
        <v>63</v>
      </c>
      <c r="M44" s="76">
        <v>0.01</v>
      </c>
      <c r="N44" s="76">
        <v>0.04</v>
      </c>
      <c r="O44" s="76">
        <v>0</v>
      </c>
      <c r="P44" s="77">
        <v>3</v>
      </c>
      <c r="Q44" s="77">
        <v>18</v>
      </c>
      <c r="R44" s="75">
        <v>0</v>
      </c>
      <c r="S44" s="75">
        <v>0</v>
      </c>
      <c r="T44" s="78">
        <v>0</v>
      </c>
      <c r="U44" s="75">
        <v>4</v>
      </c>
      <c r="V44" s="147">
        <v>0</v>
      </c>
      <c r="W44" s="78">
        <v>87.13</v>
      </c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</row>
    <row r="45" spans="1:33" s="167" customFormat="1" x14ac:dyDescent="0.35">
      <c r="A45" s="180" t="s">
        <v>135</v>
      </c>
      <c r="B45" s="162" t="s">
        <v>93</v>
      </c>
      <c r="C45" s="162" t="s">
        <v>92</v>
      </c>
      <c r="D45" s="177">
        <v>0</v>
      </c>
      <c r="E45" s="168">
        <v>200000</v>
      </c>
      <c r="F45" s="163">
        <v>2.77</v>
      </c>
      <c r="G45" s="163">
        <v>2.34</v>
      </c>
      <c r="H45" s="163">
        <v>0.09</v>
      </c>
      <c r="I45" s="163">
        <v>0.14000000000000001</v>
      </c>
      <c r="J45" s="163">
        <v>0.48</v>
      </c>
      <c r="K45" s="169">
        <v>0.03</v>
      </c>
      <c r="L45" s="163">
        <v>65.72</v>
      </c>
      <c r="M45" s="169">
        <v>0</v>
      </c>
      <c r="N45" s="169">
        <v>0.09</v>
      </c>
      <c r="O45" s="178">
        <v>0</v>
      </c>
      <c r="P45" s="172">
        <v>0.15</v>
      </c>
      <c r="Q45" s="172">
        <v>0</v>
      </c>
      <c r="R45" s="164">
        <v>0</v>
      </c>
      <c r="S45" s="163">
        <v>0</v>
      </c>
      <c r="T45" s="173">
        <v>0</v>
      </c>
      <c r="U45" s="164">
        <v>4</v>
      </c>
      <c r="V45" s="165">
        <v>0</v>
      </c>
      <c r="W45" s="172">
        <v>169.78</v>
      </c>
      <c r="X45" s="165"/>
      <c r="Y45" s="165"/>
      <c r="Z45" s="166"/>
      <c r="AA45" s="165"/>
      <c r="AB45" s="166"/>
      <c r="AC45" s="165"/>
      <c r="AD45" s="166"/>
      <c r="AE45" s="165"/>
      <c r="AF45" s="165"/>
      <c r="AG45" s="165"/>
    </row>
    <row r="46" spans="1:33" s="167" customFormat="1" x14ac:dyDescent="0.35">
      <c r="A46" s="181" t="s">
        <v>135</v>
      </c>
      <c r="B46" s="171" t="s">
        <v>93</v>
      </c>
      <c r="C46" s="171" t="s">
        <v>164</v>
      </c>
      <c r="D46" s="85">
        <v>0</v>
      </c>
      <c r="E46" s="170">
        <v>30000</v>
      </c>
      <c r="F46" s="82">
        <v>2.8</v>
      </c>
      <c r="G46" s="82">
        <v>3.3</v>
      </c>
      <c r="H46" s="82">
        <v>0.05</v>
      </c>
      <c r="I46" s="82">
        <v>0.14000000000000001</v>
      </c>
      <c r="J46" s="82">
        <v>0.9</v>
      </c>
      <c r="K46" s="86">
        <v>0.06</v>
      </c>
      <c r="L46" s="82">
        <v>64.8</v>
      </c>
      <c r="M46" s="86">
        <v>0</v>
      </c>
      <c r="N46" s="86">
        <v>0.04</v>
      </c>
      <c r="O46" s="179">
        <v>0</v>
      </c>
      <c r="P46" s="81">
        <v>5.2</v>
      </c>
      <c r="Q46" s="81">
        <v>0</v>
      </c>
      <c r="R46" s="174">
        <v>0</v>
      </c>
      <c r="S46" s="82">
        <v>0</v>
      </c>
      <c r="T46" s="83">
        <v>0</v>
      </c>
      <c r="U46" s="174">
        <v>4</v>
      </c>
      <c r="V46" s="175">
        <v>0</v>
      </c>
      <c r="W46" s="81">
        <v>146.47</v>
      </c>
      <c r="X46" s="175"/>
      <c r="Y46" s="175"/>
      <c r="Z46" s="176"/>
      <c r="AA46" s="175"/>
      <c r="AB46" s="176"/>
      <c r="AC46" s="175"/>
      <c r="AD46" s="176"/>
      <c r="AE46" s="175"/>
      <c r="AF46" s="175"/>
      <c r="AG46" s="175"/>
    </row>
    <row r="47" spans="1:33" x14ac:dyDescent="0.35">
      <c r="A47" s="96" t="s">
        <v>135</v>
      </c>
      <c r="B47" s="96" t="s">
        <v>155</v>
      </c>
      <c r="C47" s="96" t="s">
        <v>143</v>
      </c>
      <c r="D47" s="37">
        <v>0</v>
      </c>
      <c r="E47" s="44">
        <v>30000</v>
      </c>
      <c r="F47" s="39">
        <v>0.2949676577</v>
      </c>
      <c r="G47" s="39">
        <v>6.0841622633999997</v>
      </c>
      <c r="H47" s="39">
        <v>0.10850543409999999</v>
      </c>
      <c r="I47" s="39">
        <v>5.5825213626000004E-3</v>
      </c>
      <c r="J47" s="39">
        <v>3.1670384489000001</v>
      </c>
      <c r="K47" s="215">
        <v>2.8257654772800001E-2</v>
      </c>
      <c r="L47" s="39">
        <v>0.82160331684569998</v>
      </c>
      <c r="M47" s="39">
        <v>8.5576966599999998E-2</v>
      </c>
      <c r="N47" s="39">
        <v>0.25437577819999996</v>
      </c>
      <c r="O47" s="39">
        <f>100-SUM(F47:N47)-U47</f>
        <v>84.149929958118904</v>
      </c>
      <c r="P47" s="23">
        <f>100-SUM(F47:N47)</f>
        <v>89.149929958118904</v>
      </c>
      <c r="Q47" s="23">
        <v>0</v>
      </c>
      <c r="R47" s="39">
        <v>0</v>
      </c>
      <c r="S47" s="39">
        <v>0</v>
      </c>
      <c r="T47" s="12">
        <v>0</v>
      </c>
      <c r="U47" s="39">
        <v>5</v>
      </c>
      <c r="V47" s="132">
        <v>0</v>
      </c>
      <c r="W47" s="11">
        <v>349</v>
      </c>
      <c r="X47" s="132"/>
      <c r="Y47" s="132"/>
      <c r="Z47" s="132"/>
      <c r="AA47" s="132"/>
      <c r="AB47" s="133"/>
      <c r="AC47" s="132"/>
      <c r="AD47" s="132"/>
      <c r="AE47" s="132"/>
      <c r="AF47" s="132"/>
      <c r="AG47" s="133"/>
    </row>
    <row r="48" spans="1:33" x14ac:dyDescent="0.35">
      <c r="A48" s="96" t="s">
        <v>135</v>
      </c>
      <c r="B48" s="96" t="s">
        <v>155</v>
      </c>
      <c r="C48" s="96" t="s">
        <v>144</v>
      </c>
      <c r="D48" s="37">
        <v>0</v>
      </c>
      <c r="E48" s="44">
        <v>200000</v>
      </c>
      <c r="F48" s="39">
        <v>0.26597022300000001</v>
      </c>
      <c r="G48" s="39">
        <v>6.3986842240000001</v>
      </c>
      <c r="H48" s="39">
        <v>0.10365931849999999</v>
      </c>
      <c r="I48" s="39">
        <v>3.2338310561999999E-3</v>
      </c>
      <c r="J48" s="39">
        <v>3.2650817081999999</v>
      </c>
      <c r="K48" s="215">
        <v>3.5085107000400004E-2</v>
      </c>
      <c r="L48" s="39">
        <v>0.60351741489419986</v>
      </c>
      <c r="M48" s="39">
        <v>7.8987155199999992E-2</v>
      </c>
      <c r="N48" s="39">
        <v>0.17216165349999998</v>
      </c>
      <c r="O48" s="12">
        <f>100-SUM(F48:N48)-U48</f>
        <v>81.073619364649204</v>
      </c>
      <c r="P48" s="12">
        <f>100-SUM(F48:N48)</f>
        <v>89.073619364649204</v>
      </c>
      <c r="Q48" s="23">
        <v>0</v>
      </c>
      <c r="R48" s="39">
        <v>0</v>
      </c>
      <c r="S48" s="39">
        <v>0</v>
      </c>
      <c r="T48" s="12">
        <v>0</v>
      </c>
      <c r="U48" s="39">
        <v>8</v>
      </c>
      <c r="V48" s="132">
        <v>0</v>
      </c>
      <c r="W48" s="11">
        <v>365</v>
      </c>
      <c r="X48" s="132"/>
      <c r="Y48" s="132"/>
      <c r="Z48" s="132"/>
      <c r="AA48" s="132"/>
      <c r="AB48" s="133"/>
      <c r="AC48" s="132"/>
      <c r="AD48" s="132"/>
      <c r="AE48" s="132"/>
      <c r="AF48" s="132"/>
      <c r="AG48" s="133"/>
    </row>
    <row r="49" spans="1:33" x14ac:dyDescent="0.35">
      <c r="A49" s="97" t="s">
        <v>135</v>
      </c>
      <c r="B49" s="97" t="s">
        <v>156</v>
      </c>
      <c r="C49" s="97" t="s">
        <v>145</v>
      </c>
      <c r="D49" s="45">
        <v>0</v>
      </c>
      <c r="E49" s="46">
        <v>200000</v>
      </c>
      <c r="F49" s="40">
        <v>0.51633722400000004</v>
      </c>
      <c r="G49" s="40">
        <v>4.2998717759999998</v>
      </c>
      <c r="H49" s="40">
        <v>0.16996636799999998</v>
      </c>
      <c r="I49" s="40">
        <v>7.4406587968560006E-3</v>
      </c>
      <c r="J49" s="40">
        <v>2.9283541200000003</v>
      </c>
      <c r="K49" s="216">
        <v>5.9052417600000004E-2</v>
      </c>
      <c r="L49" s="40">
        <v>1.0285639559999999</v>
      </c>
      <c r="M49" s="40">
        <v>0</v>
      </c>
      <c r="N49" s="40">
        <v>0.112</v>
      </c>
      <c r="O49" s="41">
        <f>100-SUM(F49:N49)-U49</f>
        <v>82.87841347960314</v>
      </c>
      <c r="P49" s="48">
        <f>100-SUM(F49:N49)</f>
        <v>90.87841347960314</v>
      </c>
      <c r="Q49" s="48">
        <v>0</v>
      </c>
      <c r="R49" s="40">
        <v>0</v>
      </c>
      <c r="S49" s="40">
        <v>0</v>
      </c>
      <c r="T49" s="41">
        <v>0</v>
      </c>
      <c r="U49" s="40">
        <v>8</v>
      </c>
      <c r="V49" s="134">
        <v>0</v>
      </c>
      <c r="W49" s="47">
        <v>240.36330275229358</v>
      </c>
      <c r="X49" s="134"/>
      <c r="Y49" s="134"/>
      <c r="Z49" s="134"/>
      <c r="AA49" s="134"/>
      <c r="AB49" s="135"/>
      <c r="AC49" s="134"/>
      <c r="AD49" s="134"/>
      <c r="AE49" s="134"/>
      <c r="AF49" s="134"/>
      <c r="AG49" s="135"/>
    </row>
  </sheetData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FBFE-CA86-4B30-BED0-620C4D62BA4C}">
  <sheetPr codeName="Planilha2"/>
  <dimension ref="A1:I15"/>
  <sheetViews>
    <sheetView showGridLines="0" workbookViewId="0">
      <selection activeCell="F4" sqref="F4"/>
    </sheetView>
  </sheetViews>
  <sheetFormatPr defaultRowHeight="14.5" x14ac:dyDescent="0.35"/>
  <cols>
    <col min="1" max="1" width="24.453125" bestFit="1" customWidth="1"/>
    <col min="2" max="6" width="10.6328125" customWidth="1"/>
    <col min="7" max="8" width="3.36328125" customWidth="1"/>
  </cols>
  <sheetData>
    <row r="1" spans="1:9" x14ac:dyDescent="0.35">
      <c r="A1" s="186" t="s">
        <v>45</v>
      </c>
      <c r="B1" s="193" t="s">
        <v>176</v>
      </c>
      <c r="C1" s="189" t="s">
        <v>177</v>
      </c>
      <c r="D1" s="189" t="s">
        <v>47</v>
      </c>
      <c r="E1" s="186" t="s">
        <v>46</v>
      </c>
      <c r="F1" s="28" t="s">
        <v>68</v>
      </c>
    </row>
    <row r="2" spans="1:9" x14ac:dyDescent="0.35">
      <c r="A2" s="187" t="s">
        <v>178</v>
      </c>
      <c r="B2" s="200">
        <v>0.66638642012528049</v>
      </c>
      <c r="C2" s="201">
        <v>0.85172849462365596</v>
      </c>
      <c r="D2" s="201">
        <v>0.81891801075268822</v>
      </c>
      <c r="E2" s="194">
        <f>(B2*B4+C2*C4)/(B4+C4)</f>
        <v>0.81260105793476678</v>
      </c>
      <c r="F2" s="197">
        <f>(B2*B4+C2*C4+D2*D4)/(B4+C4+D4)</f>
        <v>0.81531451995906601</v>
      </c>
    </row>
    <row r="3" spans="1:9" x14ac:dyDescent="0.35">
      <c r="A3" s="187" t="s">
        <v>179</v>
      </c>
      <c r="B3" s="205">
        <v>95.579945994101664</v>
      </c>
      <c r="C3" s="206">
        <v>279.44812348032752</v>
      </c>
      <c r="D3" s="206">
        <v>277.42490729846241</v>
      </c>
      <c r="E3" s="115">
        <f>C3+B3</f>
        <v>375.02806947442917</v>
      </c>
      <c r="F3" s="17">
        <f>D3+C3+B3</f>
        <v>652.45297677289159</v>
      </c>
    </row>
    <row r="4" spans="1:9" x14ac:dyDescent="0.35">
      <c r="A4" s="187" t="s">
        <v>180</v>
      </c>
      <c r="B4" s="115">
        <f>B2*B3*F14*24</f>
        <v>46867.988133940424</v>
      </c>
      <c r="C4" s="188">
        <f>C2*C3*F14*24</f>
        <v>175140.16991073044</v>
      </c>
      <c r="D4" s="188">
        <f>D3*D2*F14*24</f>
        <v>167174.20424801097</v>
      </c>
      <c r="E4" s="115">
        <f>SUM(B4:C4)</f>
        <v>222008.15804467088</v>
      </c>
      <c r="F4" s="17">
        <f>SUM(B4:D4)</f>
        <v>389182.36229268182</v>
      </c>
    </row>
    <row r="5" spans="1:9" x14ac:dyDescent="0.35">
      <c r="A5" s="187" t="s">
        <v>182</v>
      </c>
      <c r="B5" s="202">
        <v>147.5</v>
      </c>
      <c r="C5" s="203">
        <v>52</v>
      </c>
      <c r="D5" s="203">
        <v>81.333333333333329</v>
      </c>
      <c r="E5" s="115">
        <f>C5+B5</f>
        <v>199.5</v>
      </c>
      <c r="F5" s="17">
        <f>SUM(B5:D5)</f>
        <v>280.83333333333331</v>
      </c>
    </row>
    <row r="6" spans="1:9" x14ac:dyDescent="0.35">
      <c r="A6" s="187" t="s">
        <v>183</v>
      </c>
      <c r="B6" s="115">
        <f>B5*B3</f>
        <v>14098.042034129996</v>
      </c>
      <c r="C6" s="188">
        <f>C5*C3</f>
        <v>14531.302420977032</v>
      </c>
      <c r="D6" s="188">
        <f>D5*D3</f>
        <v>22563.892460274943</v>
      </c>
      <c r="E6" s="115">
        <f>C6+B6</f>
        <v>28629.344455107028</v>
      </c>
      <c r="F6" s="17">
        <f>SUM(B6:D6)</f>
        <v>51193.236915381975</v>
      </c>
    </row>
    <row r="7" spans="1:9" x14ac:dyDescent="0.35">
      <c r="A7" s="187" t="s">
        <v>184</v>
      </c>
      <c r="B7" s="194"/>
      <c r="C7" s="198"/>
      <c r="D7" s="198"/>
      <c r="E7" s="194"/>
      <c r="F7" s="197">
        <f>F6/(F4*102%)</f>
        <v>0.12896126037313127</v>
      </c>
    </row>
    <row r="8" spans="1:9" x14ac:dyDescent="0.35">
      <c r="A8" s="187" t="s">
        <v>185</v>
      </c>
      <c r="B8" s="194"/>
      <c r="C8" s="198"/>
      <c r="D8" s="198"/>
      <c r="E8" s="194"/>
      <c r="F8" s="197">
        <f>1-F7</f>
        <v>0.87103873962686873</v>
      </c>
    </row>
    <row r="9" spans="1:9" x14ac:dyDescent="0.35">
      <c r="A9" s="187" t="s">
        <v>186</v>
      </c>
      <c r="B9" s="194"/>
      <c r="C9" s="198"/>
      <c r="D9" s="198"/>
      <c r="E9" s="194"/>
      <c r="F9" s="204">
        <v>0.72799999999999998</v>
      </c>
    </row>
    <row r="10" spans="1:9" x14ac:dyDescent="0.35">
      <c r="A10" s="187" t="s">
        <v>187</v>
      </c>
      <c r="B10" s="194"/>
      <c r="C10" s="198"/>
      <c r="D10" s="198"/>
      <c r="E10" s="194"/>
      <c r="F10" s="204">
        <v>0.878</v>
      </c>
    </row>
    <row r="11" spans="1:9" x14ac:dyDescent="0.35">
      <c r="A11" s="187" t="s">
        <v>136</v>
      </c>
      <c r="B11" s="194"/>
      <c r="C11" s="198"/>
      <c r="D11" s="198"/>
      <c r="E11" s="194"/>
      <c r="F11" s="197">
        <f>(F7*F9+F8*F10)</f>
        <v>0.85865581094403032</v>
      </c>
    </row>
    <row r="12" spans="1:9" x14ac:dyDescent="0.35">
      <c r="A12" s="191" t="s">
        <v>188</v>
      </c>
      <c r="B12" s="195"/>
      <c r="C12" s="196"/>
      <c r="D12" s="196"/>
      <c r="E12" s="195"/>
      <c r="F12" s="190">
        <f>1000/F11</f>
        <v>1164.6109969261979</v>
      </c>
    </row>
    <row r="14" spans="1:9" x14ac:dyDescent="0.35">
      <c r="A14" s="199" t="s">
        <v>181</v>
      </c>
      <c r="B14" s="192"/>
      <c r="C14" s="192"/>
      <c r="D14" s="192"/>
      <c r="E14" s="192"/>
      <c r="F14" s="207">
        <v>30.66</v>
      </c>
      <c r="I14">
        <v>30.17</v>
      </c>
    </row>
    <row r="15" spans="1:9" x14ac:dyDescent="0.35">
      <c r="A15" s="199" t="s">
        <v>192</v>
      </c>
      <c r="B15" s="192"/>
      <c r="C15" s="192"/>
      <c r="D15" s="192"/>
      <c r="E15" s="192"/>
      <c r="F15" s="207" t="s">
        <v>193</v>
      </c>
    </row>
  </sheetData>
  <dataValidations count="1">
    <dataValidation type="list" allowBlank="1" showInputMessage="1" showErrorMessage="1" sqref="F15" xr:uid="{130A35F4-E6B9-4963-BAB0-DEAED883454C}">
      <formula1>"CHUVA,SECA"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43D8-DCBF-4F70-8423-E425228C0544}">
  <sheetPr codeName="Planilha3"/>
  <dimension ref="A1:G30"/>
  <sheetViews>
    <sheetView showGridLines="0" workbookViewId="0">
      <selection activeCell="H13" sqref="H13"/>
    </sheetView>
  </sheetViews>
  <sheetFormatPr defaultRowHeight="14.5" x14ac:dyDescent="0.35"/>
  <cols>
    <col min="1" max="1" width="24.453125" bestFit="1" customWidth="1"/>
    <col min="2" max="5" width="19.7265625" customWidth="1"/>
    <col min="7" max="7" width="8.453125" bestFit="1" customWidth="1"/>
  </cols>
  <sheetData>
    <row r="1" spans="1:5" x14ac:dyDescent="0.35">
      <c r="A1" s="28" t="s">
        <v>45</v>
      </c>
      <c r="B1" s="28" t="s">
        <v>46</v>
      </c>
      <c r="C1" s="28" t="s">
        <v>47</v>
      </c>
      <c r="D1" s="28" t="s">
        <v>68</v>
      </c>
      <c r="E1" s="28" t="s">
        <v>48</v>
      </c>
    </row>
    <row r="2" spans="1:5" x14ac:dyDescent="0.35">
      <c r="A2" s="16" t="s">
        <v>49</v>
      </c>
      <c r="B2" s="17">
        <f>PERFORMANCE!E4</f>
        <v>222008.15804467088</v>
      </c>
      <c r="C2" s="17">
        <f>PERFORMANCE!D4</f>
        <v>167174.20424801097</v>
      </c>
      <c r="D2" s="15">
        <f>SUM(B2:C2)</f>
        <v>389182.36229268182</v>
      </c>
      <c r="E2" s="1" t="s">
        <v>50</v>
      </c>
    </row>
    <row r="3" spans="1:5" x14ac:dyDescent="0.35">
      <c r="A3" s="16" t="s">
        <v>51</v>
      </c>
      <c r="B3" s="18">
        <v>50</v>
      </c>
      <c r="C3" s="18">
        <v>50</v>
      </c>
      <c r="D3" s="1">
        <f t="shared" ref="D3:D22" si="0">(B3*$B$2+C3*$C$2)/$D$2</f>
        <v>50.000000000000007</v>
      </c>
      <c r="E3" s="1" t="s">
        <v>52</v>
      </c>
    </row>
    <row r="4" spans="1:5" x14ac:dyDescent="0.35">
      <c r="A4" s="16" t="s">
        <v>53</v>
      </c>
      <c r="B4" s="18">
        <v>0</v>
      </c>
      <c r="C4" s="18">
        <v>0</v>
      </c>
      <c r="D4" s="1">
        <f t="shared" si="0"/>
        <v>0</v>
      </c>
      <c r="E4" s="1" t="s">
        <v>52</v>
      </c>
    </row>
    <row r="5" spans="1:5" x14ac:dyDescent="0.35">
      <c r="A5" s="16" t="s">
        <v>54</v>
      </c>
      <c r="B5" s="68">
        <v>1</v>
      </c>
      <c r="C5" s="68">
        <v>1</v>
      </c>
      <c r="D5" s="1">
        <f t="shared" si="0"/>
        <v>1</v>
      </c>
      <c r="E5" s="1" t="s">
        <v>52</v>
      </c>
    </row>
    <row r="6" spans="1:5" x14ac:dyDescent="0.35">
      <c r="A6" s="16" t="s">
        <v>55</v>
      </c>
      <c r="B6" s="18">
        <v>1.7</v>
      </c>
      <c r="C6" s="18">
        <v>1.7</v>
      </c>
      <c r="D6" s="1">
        <f t="shared" si="0"/>
        <v>1.7</v>
      </c>
      <c r="E6" s="18" t="s">
        <v>196</v>
      </c>
    </row>
    <row r="7" spans="1:5" x14ac:dyDescent="0.35">
      <c r="A7" s="16" t="s">
        <v>56</v>
      </c>
      <c r="B7" s="18">
        <v>1.9</v>
      </c>
      <c r="C7" s="18">
        <v>1.9</v>
      </c>
      <c r="D7" s="1">
        <f t="shared" si="0"/>
        <v>1.9000000000000001</v>
      </c>
      <c r="E7" s="18" t="s">
        <v>196</v>
      </c>
    </row>
    <row r="8" spans="1:5" x14ac:dyDescent="0.35">
      <c r="A8" s="16" t="s">
        <v>57</v>
      </c>
      <c r="B8" s="18">
        <v>1.35</v>
      </c>
      <c r="C8" s="18">
        <v>1.35</v>
      </c>
      <c r="D8" s="1">
        <f t="shared" si="0"/>
        <v>1.35</v>
      </c>
      <c r="E8" s="1" t="s">
        <v>52</v>
      </c>
    </row>
    <row r="9" spans="1:5" x14ac:dyDescent="0.35">
      <c r="A9" s="16" t="s">
        <v>58</v>
      </c>
      <c r="B9" s="18">
        <v>1.65</v>
      </c>
      <c r="C9" s="18">
        <v>1.65</v>
      </c>
      <c r="D9" s="1">
        <f t="shared" si="0"/>
        <v>1.6500000000000001</v>
      </c>
      <c r="E9" s="1" t="s">
        <v>52</v>
      </c>
    </row>
    <row r="10" spans="1:5" x14ac:dyDescent="0.35">
      <c r="A10" s="16" t="s">
        <v>62</v>
      </c>
      <c r="B10" s="18">
        <v>29.6</v>
      </c>
      <c r="C10" s="18">
        <v>29.6</v>
      </c>
      <c r="D10" s="1">
        <f>(B10*$B$2+C10*$C$2)/$D$2</f>
        <v>29.6</v>
      </c>
      <c r="E10" s="1" t="s">
        <v>66</v>
      </c>
    </row>
    <row r="11" spans="1:5" x14ac:dyDescent="0.35">
      <c r="A11" s="16" t="s">
        <v>64</v>
      </c>
      <c r="B11" s="18">
        <v>0.83</v>
      </c>
      <c r="C11" s="18">
        <v>0.83</v>
      </c>
      <c r="D11" s="1">
        <f>(B11*$B$2+C11*$C$2)/$D$2</f>
        <v>0.83000000000000007</v>
      </c>
      <c r="E11" s="18" t="s">
        <v>196</v>
      </c>
    </row>
    <row r="12" spans="1:5" x14ac:dyDescent="0.35">
      <c r="A12" s="16" t="s">
        <v>65</v>
      </c>
      <c r="B12" s="18">
        <v>0.23</v>
      </c>
      <c r="C12" s="18">
        <v>0.23</v>
      </c>
      <c r="D12" s="1">
        <f>(B12*$B$2+C12*$C$2)/$D$2</f>
        <v>0.23</v>
      </c>
      <c r="E12" s="18" t="s">
        <v>196</v>
      </c>
    </row>
    <row r="13" spans="1:5" x14ac:dyDescent="0.35">
      <c r="A13" s="16" t="s">
        <v>190</v>
      </c>
      <c r="B13" s="18">
        <v>0</v>
      </c>
      <c r="C13" s="18">
        <v>0</v>
      </c>
      <c r="D13" s="15">
        <v>55000</v>
      </c>
      <c r="E13" s="1" t="s">
        <v>194</v>
      </c>
    </row>
    <row r="14" spans="1:5" x14ac:dyDescent="0.35">
      <c r="A14" s="16" t="s">
        <v>191</v>
      </c>
      <c r="B14" s="18">
        <v>0</v>
      </c>
      <c r="C14" s="18">
        <v>0</v>
      </c>
      <c r="D14" s="15">
        <v>990000</v>
      </c>
      <c r="E14" s="1" t="s">
        <v>194</v>
      </c>
    </row>
    <row r="15" spans="1:5" x14ac:dyDescent="0.35">
      <c r="A15" s="16" t="s">
        <v>167</v>
      </c>
      <c r="B15" s="18">
        <v>40</v>
      </c>
      <c r="C15" s="18">
        <v>40</v>
      </c>
      <c r="D15" s="1">
        <f>(B15*$B$2+C15*$C$2)/$D$2</f>
        <v>40.000000000000007</v>
      </c>
      <c r="E15" s="1" t="s">
        <v>66</v>
      </c>
    </row>
    <row r="16" spans="1:5" x14ac:dyDescent="0.35">
      <c r="A16" s="16" t="s">
        <v>158</v>
      </c>
      <c r="B16" s="18">
        <v>50.66</v>
      </c>
      <c r="C16" s="18">
        <v>50.66</v>
      </c>
      <c r="D16" s="1">
        <f t="shared" ref="D16" si="1">(B16*$B$2+C16*$C$2)/$D$2</f>
        <v>50.66</v>
      </c>
      <c r="E16" s="1" t="s">
        <v>66</v>
      </c>
    </row>
    <row r="17" spans="1:7" x14ac:dyDescent="0.35">
      <c r="A17" s="16" t="s">
        <v>59</v>
      </c>
      <c r="B17" s="18">
        <v>0.57999999999999996</v>
      </c>
      <c r="C17" s="18">
        <v>0.57999999999999996</v>
      </c>
      <c r="D17" s="1">
        <f t="shared" si="0"/>
        <v>0.57999999999999996</v>
      </c>
      <c r="E17" s="18" t="s">
        <v>196</v>
      </c>
    </row>
    <row r="18" spans="1:7" x14ac:dyDescent="0.35">
      <c r="A18" s="16" t="s">
        <v>60</v>
      </c>
      <c r="B18" s="18">
        <v>0.99</v>
      </c>
      <c r="C18" s="18">
        <v>0.99</v>
      </c>
      <c r="D18" s="1">
        <f t="shared" si="0"/>
        <v>0.99</v>
      </c>
      <c r="E18" s="18" t="s">
        <v>196</v>
      </c>
    </row>
    <row r="19" spans="1:7" x14ac:dyDescent="0.35">
      <c r="A19" s="16" t="s">
        <v>61</v>
      </c>
      <c r="B19" s="18">
        <v>0.44</v>
      </c>
      <c r="C19" s="18">
        <v>0.43</v>
      </c>
      <c r="D19" s="1">
        <f t="shared" si="0"/>
        <v>0.43570447634720183</v>
      </c>
      <c r="E19" s="18" t="s">
        <v>196</v>
      </c>
    </row>
    <row r="20" spans="1:7" x14ac:dyDescent="0.35">
      <c r="A20" s="16" t="s">
        <v>63</v>
      </c>
      <c r="B20" s="18">
        <v>0.05</v>
      </c>
      <c r="C20" s="18">
        <v>0.05</v>
      </c>
      <c r="D20" s="1">
        <f t="shared" si="0"/>
        <v>0.05</v>
      </c>
      <c r="E20" s="18" t="s">
        <v>196</v>
      </c>
    </row>
    <row r="21" spans="1:7" x14ac:dyDescent="0.35">
      <c r="A21" s="16" t="s">
        <v>175</v>
      </c>
      <c r="B21" s="18">
        <v>0.04</v>
      </c>
      <c r="C21" s="18">
        <v>0.04</v>
      </c>
      <c r="D21" s="1">
        <f t="shared" si="0"/>
        <v>4.0000000000000008E-2</v>
      </c>
      <c r="E21" s="18" t="s">
        <v>196</v>
      </c>
    </row>
    <row r="22" spans="1:7" x14ac:dyDescent="0.35">
      <c r="A22" s="16" t="s">
        <v>136</v>
      </c>
      <c r="B22" s="18">
        <f>PERFORMANCE!F11</f>
        <v>0.85865581094403032</v>
      </c>
      <c r="C22" s="18">
        <f>PERFORMANCE!F11</f>
        <v>0.85865581094403032</v>
      </c>
      <c r="D22" s="1">
        <f t="shared" si="0"/>
        <v>0.85865581094403032</v>
      </c>
      <c r="E22" s="18" t="s">
        <v>196</v>
      </c>
    </row>
    <row r="23" spans="1:7" x14ac:dyDescent="0.35">
      <c r="A23" s="16" t="s">
        <v>140</v>
      </c>
      <c r="B23" s="17">
        <f>B2*B22</f>
        <v>190628.59498203732</v>
      </c>
      <c r="C23" s="17">
        <f>C2*C22</f>
        <v>143545.1019174988</v>
      </c>
      <c r="D23" s="15">
        <f>SUM(B23:C23)</f>
        <v>334173.69689953612</v>
      </c>
      <c r="E23" s="1" t="s">
        <v>50</v>
      </c>
      <c r="G23" s="107"/>
    </row>
    <row r="24" spans="1:7" x14ac:dyDescent="0.35">
      <c r="A24" s="16" t="s">
        <v>141</v>
      </c>
      <c r="B24" s="17">
        <f>B2-B23</f>
        <v>31379.563062633562</v>
      </c>
      <c r="C24" s="17">
        <f>C2-C23</f>
        <v>23629.102330512163</v>
      </c>
      <c r="D24" s="15">
        <f>SUM(B24:C24)</f>
        <v>55008.665393145726</v>
      </c>
      <c r="E24" s="1" t="s">
        <v>50</v>
      </c>
    </row>
    <row r="25" spans="1:7" x14ac:dyDescent="0.35">
      <c r="A25" s="16" t="s">
        <v>137</v>
      </c>
      <c r="B25" s="18">
        <v>0</v>
      </c>
      <c r="C25" s="18">
        <v>0</v>
      </c>
      <c r="D25" s="15">
        <v>57000</v>
      </c>
      <c r="E25" s="1" t="s">
        <v>50</v>
      </c>
    </row>
    <row r="26" spans="1:7" x14ac:dyDescent="0.35">
      <c r="A26" s="16" t="s">
        <v>138</v>
      </c>
      <c r="B26" s="18">
        <v>0</v>
      </c>
      <c r="C26" s="18">
        <v>0</v>
      </c>
      <c r="D26" s="15">
        <v>57000</v>
      </c>
      <c r="E26" s="1" t="s">
        <v>50</v>
      </c>
    </row>
    <row r="27" spans="1:7" x14ac:dyDescent="0.35">
      <c r="A27" s="16" t="s">
        <v>139</v>
      </c>
      <c r="B27" s="18">
        <v>0</v>
      </c>
      <c r="C27" s="18">
        <v>0</v>
      </c>
      <c r="D27" s="15">
        <f>D26-D25</f>
        <v>0</v>
      </c>
      <c r="E27" s="1" t="s">
        <v>50</v>
      </c>
    </row>
    <row r="28" spans="1:7" x14ac:dyDescent="0.35">
      <c r="A28" s="16" t="s">
        <v>205</v>
      </c>
      <c r="B28" s="18">
        <v>0</v>
      </c>
      <c r="C28" s="18">
        <v>0</v>
      </c>
      <c r="D28" s="15">
        <v>80000</v>
      </c>
      <c r="E28" s="1" t="s">
        <v>50</v>
      </c>
    </row>
    <row r="29" spans="1:7" x14ac:dyDescent="0.35">
      <c r="A29" s="16" t="s">
        <v>142</v>
      </c>
      <c r="B29" s="18">
        <v>0</v>
      </c>
      <c r="C29" s="18">
        <v>0</v>
      </c>
      <c r="D29" s="15">
        <f>D23-D27</f>
        <v>334173.69689953612</v>
      </c>
      <c r="E29" s="1" t="s">
        <v>50</v>
      </c>
    </row>
    <row r="30" spans="1:7" x14ac:dyDescent="0.35">
      <c r="A30" s="26" t="s">
        <v>172</v>
      </c>
      <c r="B30" s="27">
        <f>5.09</f>
        <v>5.09</v>
      </c>
      <c r="C30" s="27">
        <v>5.09</v>
      </c>
      <c r="D30" s="25">
        <f>(B30*B2+C30*C2)/D2</f>
        <v>5.09</v>
      </c>
      <c r="E30" s="25" t="s">
        <v>174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53DF-F729-46D7-9BA8-5E4DA259526A}">
  <sheetPr codeName="Planilha6"/>
  <dimension ref="A1:G24"/>
  <sheetViews>
    <sheetView showGridLines="0" workbookViewId="0">
      <selection activeCell="C29" sqref="C29:C30"/>
    </sheetView>
  </sheetViews>
  <sheetFormatPr defaultRowHeight="14.5" x14ac:dyDescent="0.35"/>
  <cols>
    <col min="1" max="1" width="13.1796875" bestFit="1" customWidth="1"/>
    <col min="2" max="2" width="23" bestFit="1" customWidth="1"/>
    <col min="3" max="4" width="19.7265625" customWidth="1"/>
    <col min="6" max="6" width="14.36328125" customWidth="1"/>
    <col min="7" max="7" width="15.26953125" customWidth="1"/>
  </cols>
  <sheetData>
    <row r="1" spans="1:7" x14ac:dyDescent="0.35">
      <c r="A1" s="70" t="s">
        <v>133</v>
      </c>
      <c r="B1" s="70" t="s">
        <v>45</v>
      </c>
      <c r="C1" s="70" t="s">
        <v>95</v>
      </c>
      <c r="D1" s="70" t="s">
        <v>96</v>
      </c>
    </row>
    <row r="2" spans="1:7" x14ac:dyDescent="0.35">
      <c r="A2" s="16" t="s">
        <v>104</v>
      </c>
      <c r="B2" s="16" t="s">
        <v>209</v>
      </c>
      <c r="C2" s="18">
        <v>0</v>
      </c>
      <c r="D2" s="18">
        <v>0</v>
      </c>
    </row>
    <row r="3" spans="1:7" x14ac:dyDescent="0.35">
      <c r="A3" s="16" t="s">
        <v>104</v>
      </c>
      <c r="B3" s="16" t="s">
        <v>105</v>
      </c>
      <c r="C3" s="18">
        <v>13.8</v>
      </c>
      <c r="D3" s="18">
        <v>16</v>
      </c>
    </row>
    <row r="4" spans="1:7" x14ac:dyDescent="0.35">
      <c r="A4" s="16" t="s">
        <v>104</v>
      </c>
      <c r="B4" s="16" t="s">
        <v>162</v>
      </c>
      <c r="C4" s="18">
        <v>3</v>
      </c>
      <c r="D4" s="18">
        <v>13</v>
      </c>
    </row>
    <row r="5" spans="1:7" x14ac:dyDescent="0.35">
      <c r="A5" s="16" t="s">
        <v>104</v>
      </c>
      <c r="B5" s="16" t="s">
        <v>163</v>
      </c>
      <c r="C5" s="18">
        <v>100</v>
      </c>
      <c r="D5" s="18">
        <v>100</v>
      </c>
    </row>
    <row r="6" spans="1:7" x14ac:dyDescent="0.35">
      <c r="A6" s="42" t="s">
        <v>97</v>
      </c>
      <c r="B6" s="42" t="s">
        <v>171</v>
      </c>
      <c r="C6" s="71">
        <v>55831</v>
      </c>
      <c r="D6" s="71">
        <v>222911</v>
      </c>
    </row>
    <row r="7" spans="1:7" x14ac:dyDescent="0.35">
      <c r="A7" s="42" t="s">
        <v>97</v>
      </c>
      <c r="B7" s="42" t="s">
        <v>53</v>
      </c>
      <c r="C7" s="19">
        <v>0.35</v>
      </c>
      <c r="D7" s="19">
        <v>0.35</v>
      </c>
    </row>
    <row r="8" spans="1:7" x14ac:dyDescent="0.35">
      <c r="A8" s="42" t="s">
        <v>97</v>
      </c>
      <c r="B8" s="42" t="s">
        <v>54</v>
      </c>
      <c r="C8" s="72">
        <v>0.14499999999999999</v>
      </c>
      <c r="D8" s="72">
        <v>0.14499999999999999</v>
      </c>
    </row>
    <row r="9" spans="1:7" ht="14" customHeight="1" x14ac:dyDescent="0.35">
      <c r="A9" s="42" t="s">
        <v>97</v>
      </c>
      <c r="B9" s="42" t="s">
        <v>153</v>
      </c>
      <c r="C9" s="71">
        <v>411.47716934966689</v>
      </c>
      <c r="D9" s="71">
        <v>363.23020642676994</v>
      </c>
    </row>
    <row r="10" spans="1:7" x14ac:dyDescent="0.35">
      <c r="A10" s="42" t="s">
        <v>97</v>
      </c>
      <c r="B10" s="42" t="s">
        <v>154</v>
      </c>
      <c r="C10" s="71">
        <v>125.0990092205505</v>
      </c>
      <c r="D10" s="71">
        <v>162.7711316475183</v>
      </c>
    </row>
    <row r="11" spans="1:7" x14ac:dyDescent="0.35">
      <c r="A11" s="42" t="s">
        <v>97</v>
      </c>
      <c r="B11" s="42" t="s">
        <v>152</v>
      </c>
      <c r="C11" s="71">
        <f>SUM(C9:C10)</f>
        <v>536.57617857021739</v>
      </c>
      <c r="D11" s="71">
        <f>SUM(D9:D10)</f>
        <v>526.00133807428824</v>
      </c>
    </row>
    <row r="12" spans="1:7" x14ac:dyDescent="0.35">
      <c r="A12" s="14" t="s">
        <v>98</v>
      </c>
      <c r="B12" s="14" t="s">
        <v>161</v>
      </c>
      <c r="C12" s="21">
        <v>350</v>
      </c>
      <c r="D12" s="21">
        <v>337.12</v>
      </c>
      <c r="F12" s="183" t="s">
        <v>168</v>
      </c>
      <c r="G12" s="183" t="s">
        <v>169</v>
      </c>
    </row>
    <row r="13" spans="1:7" x14ac:dyDescent="0.35">
      <c r="A13" s="14" t="s">
        <v>98</v>
      </c>
      <c r="B13" s="14" t="s">
        <v>160</v>
      </c>
      <c r="C13" s="21">
        <v>350</v>
      </c>
      <c r="D13" s="21">
        <f>$G$13*1000/$F$13</f>
        <v>337.12374581939798</v>
      </c>
      <c r="F13" s="184">
        <f>((5*7300+7*7600)/12)</f>
        <v>7475</v>
      </c>
      <c r="G13" s="184">
        <v>2520</v>
      </c>
    </row>
    <row r="14" spans="1:7" x14ac:dyDescent="0.35">
      <c r="A14" s="14" t="s">
        <v>98</v>
      </c>
      <c r="B14" s="14" t="s">
        <v>166</v>
      </c>
      <c r="C14" s="182">
        <v>0.94899999999999995</v>
      </c>
      <c r="D14" s="182">
        <v>0.96</v>
      </c>
    </row>
    <row r="15" spans="1:7" x14ac:dyDescent="0.35">
      <c r="A15" s="14" t="s">
        <v>98</v>
      </c>
      <c r="B15" s="14" t="s">
        <v>55</v>
      </c>
      <c r="C15" s="21">
        <v>1.2</v>
      </c>
      <c r="D15" s="21">
        <v>1.2</v>
      </c>
    </row>
    <row r="16" spans="1:7" x14ac:dyDescent="0.35">
      <c r="A16" s="14" t="s">
        <v>98</v>
      </c>
      <c r="B16" s="14" t="s">
        <v>56</v>
      </c>
      <c r="C16" s="21">
        <v>1.21</v>
      </c>
      <c r="D16" s="21">
        <v>1.21</v>
      </c>
    </row>
    <row r="17" spans="1:4" x14ac:dyDescent="0.35">
      <c r="A17" s="14" t="s">
        <v>98</v>
      </c>
      <c r="B17" s="14" t="s">
        <v>99</v>
      </c>
      <c r="C17" s="21">
        <v>1.38</v>
      </c>
      <c r="D17" s="21">
        <v>1.38</v>
      </c>
    </row>
    <row r="18" spans="1:4" x14ac:dyDescent="0.35">
      <c r="A18" s="14" t="s">
        <v>98</v>
      </c>
      <c r="B18" s="14" t="s">
        <v>100</v>
      </c>
      <c r="C18" s="21">
        <v>1.4</v>
      </c>
      <c r="D18" s="21">
        <v>1.4</v>
      </c>
    </row>
    <row r="19" spans="1:4" x14ac:dyDescent="0.35">
      <c r="A19" s="14" t="s">
        <v>98</v>
      </c>
      <c r="B19" s="14" t="s">
        <v>148</v>
      </c>
      <c r="C19" s="21">
        <v>2</v>
      </c>
      <c r="D19" s="21">
        <v>3</v>
      </c>
    </row>
    <row r="20" spans="1:4" x14ac:dyDescent="0.35">
      <c r="A20" s="14" t="s">
        <v>98</v>
      </c>
      <c r="B20" s="14" t="s">
        <v>101</v>
      </c>
      <c r="C20" s="21">
        <v>5</v>
      </c>
      <c r="D20" s="21">
        <v>8</v>
      </c>
    </row>
    <row r="21" spans="1:4" x14ac:dyDescent="0.35">
      <c r="A21" s="185" t="s">
        <v>97</v>
      </c>
      <c r="B21" s="185" t="s">
        <v>173</v>
      </c>
      <c r="C21" s="61">
        <v>69.09880048703323</v>
      </c>
      <c r="D21" s="61">
        <v>67.511818864282148</v>
      </c>
    </row>
    <row r="22" spans="1:4" x14ac:dyDescent="0.35">
      <c r="C22" s="217"/>
      <c r="D22" s="217"/>
    </row>
    <row r="23" spans="1:4" x14ac:dyDescent="0.35">
      <c r="C23" s="218"/>
      <c r="D23" s="218"/>
    </row>
    <row r="24" spans="1:4" x14ac:dyDescent="0.35">
      <c r="C24" s="218"/>
      <c r="D24" s="21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8D82-792B-45AB-9016-3D0EFF6DBF0C}">
  <sheetPr codeName="Planilha4"/>
  <dimension ref="A1:I24"/>
  <sheetViews>
    <sheetView showGridLines="0" workbookViewId="0">
      <selection activeCell="E15" sqref="E15"/>
    </sheetView>
  </sheetViews>
  <sheetFormatPr defaultRowHeight="14.5" x14ac:dyDescent="0.35"/>
  <cols>
    <col min="1" max="1" width="26.26953125" bestFit="1" customWidth="1"/>
    <col min="2" max="4" width="23.7265625" customWidth="1"/>
    <col min="6" max="6" width="15.1796875" customWidth="1"/>
  </cols>
  <sheetData>
    <row r="1" spans="1:9" x14ac:dyDescent="0.35">
      <c r="A1" s="28" t="s">
        <v>67</v>
      </c>
      <c r="B1" s="28" t="s">
        <v>149</v>
      </c>
      <c r="C1" s="28" t="s">
        <v>47</v>
      </c>
      <c r="D1" s="114" t="s">
        <v>68</v>
      </c>
    </row>
    <row r="2" spans="1:9" x14ac:dyDescent="0.35">
      <c r="A2" s="16" t="s">
        <v>83</v>
      </c>
      <c r="B2" s="18"/>
      <c r="C2" s="18"/>
      <c r="D2" s="1"/>
      <c r="F2" s="24"/>
      <c r="G2" s="24"/>
      <c r="H2" s="24"/>
      <c r="I2" s="24"/>
    </row>
    <row r="3" spans="1:9" x14ac:dyDescent="0.35">
      <c r="A3" s="16" t="s">
        <v>76</v>
      </c>
      <c r="B3" s="18"/>
      <c r="C3" s="18"/>
      <c r="D3" s="1"/>
      <c r="F3" s="24"/>
      <c r="G3" s="24"/>
      <c r="H3" s="24"/>
      <c r="I3" s="24"/>
    </row>
    <row r="4" spans="1:9" x14ac:dyDescent="0.35">
      <c r="A4" s="16" t="s">
        <v>77</v>
      </c>
      <c r="B4" s="18"/>
      <c r="C4" s="18"/>
      <c r="D4" s="1"/>
      <c r="F4" s="24"/>
      <c r="G4" s="24"/>
      <c r="H4" s="24"/>
      <c r="I4" s="24"/>
    </row>
    <row r="5" spans="1:9" x14ac:dyDescent="0.35">
      <c r="A5" s="16" t="s">
        <v>4</v>
      </c>
      <c r="B5" s="18"/>
      <c r="C5" s="18"/>
      <c r="D5" s="1"/>
      <c r="F5" s="24"/>
      <c r="G5" s="24"/>
      <c r="H5" s="24"/>
      <c r="I5" s="24"/>
    </row>
    <row r="6" spans="1:9" x14ac:dyDescent="0.35">
      <c r="A6" s="16" t="s">
        <v>85</v>
      </c>
      <c r="B6" s="18"/>
      <c r="C6" s="18"/>
      <c r="D6" s="1"/>
      <c r="F6" s="24"/>
      <c r="G6" s="24"/>
      <c r="H6" s="24"/>
      <c r="I6" s="24"/>
    </row>
    <row r="7" spans="1:9" x14ac:dyDescent="0.35">
      <c r="A7" s="16" t="s">
        <v>78</v>
      </c>
      <c r="B7" s="18"/>
      <c r="C7" s="18"/>
      <c r="D7" s="1"/>
      <c r="F7" s="24"/>
      <c r="G7" s="24"/>
      <c r="H7" s="24"/>
      <c r="I7" s="24"/>
    </row>
    <row r="8" spans="1:9" x14ac:dyDescent="0.35">
      <c r="A8" s="16" t="s">
        <v>79</v>
      </c>
      <c r="B8" s="18"/>
      <c r="C8" s="18"/>
      <c r="D8" s="1"/>
      <c r="F8" s="24"/>
      <c r="G8" s="24"/>
      <c r="H8" s="24"/>
      <c r="I8" s="24"/>
    </row>
    <row r="9" spans="1:9" x14ac:dyDescent="0.35">
      <c r="A9" s="16" t="s">
        <v>5</v>
      </c>
      <c r="B9" s="68"/>
      <c r="C9" s="68"/>
      <c r="D9" s="137"/>
      <c r="F9" s="24"/>
      <c r="G9" s="24"/>
      <c r="H9" s="24"/>
      <c r="I9" s="24"/>
    </row>
    <row r="10" spans="1:9" x14ac:dyDescent="0.35">
      <c r="A10" s="16" t="s">
        <v>70</v>
      </c>
      <c r="B10" s="18"/>
      <c r="C10" s="18"/>
      <c r="D10" s="1"/>
      <c r="F10" s="24"/>
      <c r="G10" s="24"/>
      <c r="H10" s="24"/>
      <c r="I10" s="24"/>
    </row>
    <row r="11" spans="1:9" x14ac:dyDescent="0.35">
      <c r="A11" s="16" t="s">
        <v>80</v>
      </c>
      <c r="B11" s="18"/>
      <c r="C11" s="18"/>
      <c r="D11" s="1"/>
      <c r="F11" s="24"/>
      <c r="G11" s="24"/>
      <c r="H11" s="24"/>
      <c r="I11" s="24"/>
    </row>
    <row r="12" spans="1:9" x14ac:dyDescent="0.35">
      <c r="A12" s="16" t="s">
        <v>81</v>
      </c>
      <c r="B12" s="18"/>
      <c r="C12" s="18"/>
      <c r="D12" s="1"/>
      <c r="F12" s="24"/>
      <c r="G12" s="24"/>
      <c r="H12" s="24"/>
      <c r="I12" s="24"/>
    </row>
    <row r="13" spans="1:9" x14ac:dyDescent="0.35">
      <c r="A13" s="16" t="s">
        <v>82</v>
      </c>
      <c r="B13" s="18"/>
      <c r="C13" s="18"/>
      <c r="D13" s="1"/>
      <c r="F13" s="24"/>
      <c r="G13" s="24"/>
      <c r="H13" s="24"/>
      <c r="I13" s="24"/>
    </row>
    <row r="14" spans="1:9" x14ac:dyDescent="0.35">
      <c r="A14" s="16" t="s">
        <v>69</v>
      </c>
      <c r="B14" s="18"/>
      <c r="C14" s="18"/>
      <c r="D14" s="1"/>
      <c r="F14" s="24"/>
    </row>
    <row r="15" spans="1:9" x14ac:dyDescent="0.35">
      <c r="A15" s="16" t="s">
        <v>84</v>
      </c>
      <c r="B15" s="18"/>
      <c r="C15" s="18"/>
      <c r="D15" s="1"/>
    </row>
    <row r="16" spans="1:9" x14ac:dyDescent="0.35">
      <c r="A16" s="16" t="s">
        <v>206</v>
      </c>
      <c r="B16" s="18"/>
      <c r="C16" s="18"/>
      <c r="D16" s="1"/>
      <c r="F16" s="24"/>
      <c r="G16" s="24"/>
      <c r="H16" s="24"/>
      <c r="I16" s="24"/>
    </row>
    <row r="17" spans="1:9" x14ac:dyDescent="0.35">
      <c r="A17" s="16" t="s">
        <v>140</v>
      </c>
      <c r="B17" s="18"/>
      <c r="C17" s="18"/>
      <c r="D17" s="1"/>
      <c r="F17" s="24"/>
      <c r="G17" s="24"/>
      <c r="H17" s="24"/>
      <c r="I17" s="24"/>
    </row>
    <row r="18" spans="1:9" x14ac:dyDescent="0.35">
      <c r="A18" s="16" t="s">
        <v>141</v>
      </c>
      <c r="B18" s="18"/>
      <c r="C18" s="18"/>
      <c r="D18" s="1"/>
      <c r="F18" s="24"/>
      <c r="G18" s="24"/>
      <c r="H18" s="24"/>
      <c r="I18" s="24"/>
    </row>
    <row r="19" spans="1:9" x14ac:dyDescent="0.35">
      <c r="A19" s="16" t="s">
        <v>137</v>
      </c>
      <c r="B19" s="18"/>
      <c r="C19" s="18"/>
      <c r="D19" s="1"/>
      <c r="F19" s="24"/>
      <c r="G19" s="24"/>
      <c r="H19" s="24"/>
      <c r="I19" s="24"/>
    </row>
    <row r="20" spans="1:9" x14ac:dyDescent="0.35">
      <c r="A20" s="16" t="s">
        <v>138</v>
      </c>
      <c r="B20" s="18"/>
      <c r="C20" s="18"/>
      <c r="D20" s="1"/>
      <c r="F20" s="24"/>
      <c r="G20" s="24"/>
      <c r="H20" s="24"/>
      <c r="I20" s="24"/>
    </row>
    <row r="21" spans="1:9" x14ac:dyDescent="0.35">
      <c r="A21" s="16" t="s">
        <v>139</v>
      </c>
      <c r="B21" s="18"/>
      <c r="C21" s="18"/>
      <c r="D21" s="1"/>
      <c r="F21" s="24"/>
      <c r="G21" s="24"/>
      <c r="H21" s="24"/>
      <c r="I21" s="24"/>
    </row>
    <row r="22" spans="1:9" x14ac:dyDescent="0.35">
      <c r="A22" s="16" t="s">
        <v>205</v>
      </c>
      <c r="B22" s="18"/>
      <c r="C22" s="18"/>
      <c r="D22" s="1"/>
      <c r="F22" s="24"/>
      <c r="G22" s="24"/>
      <c r="H22" s="24"/>
      <c r="I22" s="24"/>
    </row>
    <row r="23" spans="1:9" x14ac:dyDescent="0.35">
      <c r="A23" s="16" t="s">
        <v>142</v>
      </c>
      <c r="B23" s="18"/>
      <c r="C23" s="18"/>
      <c r="D23" s="1"/>
      <c r="F23" s="24"/>
      <c r="G23" s="24"/>
      <c r="H23" s="24"/>
      <c r="I23" s="24"/>
    </row>
    <row r="24" spans="1:9" x14ac:dyDescent="0.35">
      <c r="A24" s="16" t="s">
        <v>158</v>
      </c>
      <c r="B24" s="18"/>
      <c r="C24" s="18"/>
      <c r="D24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2087-E642-4345-9FD2-CA3151BCFCB6}">
  <sheetPr codeName="Planilha5"/>
  <dimension ref="A1:E23"/>
  <sheetViews>
    <sheetView showGridLines="0" topLeftCell="A2" workbookViewId="0">
      <selection activeCell="A39" sqref="A39"/>
    </sheetView>
  </sheetViews>
  <sheetFormatPr defaultRowHeight="14.5" x14ac:dyDescent="0.35"/>
  <cols>
    <col min="1" max="1" width="13.1796875" bestFit="1" customWidth="1"/>
    <col min="2" max="5" width="23.7265625" customWidth="1"/>
    <col min="6" max="6" width="15.1796875" customWidth="1"/>
  </cols>
  <sheetData>
    <row r="1" spans="1:5" x14ac:dyDescent="0.35">
      <c r="A1" s="70" t="s">
        <v>133</v>
      </c>
      <c r="B1" s="70" t="s">
        <v>67</v>
      </c>
      <c r="C1" s="70" t="s">
        <v>95</v>
      </c>
      <c r="D1" s="70" t="s">
        <v>96</v>
      </c>
      <c r="E1" s="70" t="s">
        <v>68</v>
      </c>
    </row>
    <row r="2" spans="1:5" x14ac:dyDescent="0.35">
      <c r="A2" s="64" t="s">
        <v>104</v>
      </c>
      <c r="B2" s="64" t="s">
        <v>94</v>
      </c>
      <c r="C2" s="63"/>
      <c r="D2" s="63"/>
      <c r="E2" s="63"/>
    </row>
    <row r="3" spans="1:5" x14ac:dyDescent="0.35">
      <c r="A3" s="16" t="s">
        <v>104</v>
      </c>
      <c r="B3" s="16" t="s">
        <v>88</v>
      </c>
      <c r="C3" s="18"/>
      <c r="D3" s="18"/>
      <c r="E3" s="18"/>
    </row>
    <row r="4" spans="1:5" x14ac:dyDescent="0.35">
      <c r="A4" s="16" t="s">
        <v>104</v>
      </c>
      <c r="B4" s="16" t="s">
        <v>93</v>
      </c>
      <c r="C4" s="18"/>
      <c r="D4" s="18"/>
      <c r="E4" s="18"/>
    </row>
    <row r="5" spans="1:5" x14ac:dyDescent="0.35">
      <c r="A5" s="16" t="s">
        <v>104</v>
      </c>
      <c r="B5" s="16" t="s">
        <v>150</v>
      </c>
      <c r="C5" s="18"/>
      <c r="D5" s="18"/>
      <c r="E5" s="18"/>
    </row>
    <row r="6" spans="1:5" x14ac:dyDescent="0.35">
      <c r="A6" s="16" t="s">
        <v>104</v>
      </c>
      <c r="B6" s="16" t="s">
        <v>102</v>
      </c>
      <c r="C6" s="18"/>
      <c r="D6" s="18"/>
      <c r="E6" s="18"/>
    </row>
    <row r="7" spans="1:5" x14ac:dyDescent="0.35">
      <c r="A7" s="16" t="s">
        <v>97</v>
      </c>
      <c r="B7" s="16" t="s">
        <v>106</v>
      </c>
      <c r="C7" s="18"/>
      <c r="D7" s="18"/>
      <c r="E7" s="18"/>
    </row>
    <row r="8" spans="1:5" x14ac:dyDescent="0.35">
      <c r="A8" s="16" t="s">
        <v>97</v>
      </c>
      <c r="B8" s="16" t="s">
        <v>76</v>
      </c>
      <c r="C8" s="18"/>
      <c r="D8" s="18"/>
      <c r="E8" s="18"/>
    </row>
    <row r="9" spans="1:5" x14ac:dyDescent="0.35">
      <c r="A9" s="16" t="s">
        <v>97</v>
      </c>
      <c r="B9" s="16" t="s">
        <v>79</v>
      </c>
      <c r="C9" s="18"/>
      <c r="D9" s="18"/>
      <c r="E9" s="18"/>
    </row>
    <row r="10" spans="1:5" x14ac:dyDescent="0.35">
      <c r="A10" s="16" t="s">
        <v>97</v>
      </c>
      <c r="B10" s="16" t="s">
        <v>5</v>
      </c>
      <c r="C10" s="68"/>
      <c r="D10" s="68"/>
      <c r="E10" s="68"/>
    </row>
    <row r="11" spans="1:5" x14ac:dyDescent="0.35">
      <c r="A11" s="16" t="s">
        <v>97</v>
      </c>
      <c r="B11" s="16" t="s">
        <v>107</v>
      </c>
      <c r="C11" s="18"/>
      <c r="D11" s="18"/>
      <c r="E11" s="18"/>
    </row>
    <row r="12" spans="1:5" x14ac:dyDescent="0.35">
      <c r="A12" s="16" t="s">
        <v>97</v>
      </c>
      <c r="B12" s="16" t="s">
        <v>153</v>
      </c>
      <c r="C12" s="18"/>
      <c r="D12" s="18"/>
      <c r="E12" s="18"/>
    </row>
    <row r="13" spans="1:5" x14ac:dyDescent="0.35">
      <c r="A13" s="16" t="s">
        <v>97</v>
      </c>
      <c r="B13" s="16" t="s">
        <v>154</v>
      </c>
      <c r="C13" s="18"/>
      <c r="D13" s="18"/>
      <c r="E13" s="18"/>
    </row>
    <row r="14" spans="1:5" x14ac:dyDescent="0.35">
      <c r="A14" s="16" t="s">
        <v>97</v>
      </c>
      <c r="B14" s="16" t="s">
        <v>152</v>
      </c>
      <c r="C14" s="18"/>
      <c r="D14" s="18"/>
      <c r="E14" s="18"/>
    </row>
    <row r="15" spans="1:5" x14ac:dyDescent="0.35">
      <c r="A15" s="16" t="s">
        <v>98</v>
      </c>
      <c r="B15" s="16" t="s">
        <v>103</v>
      </c>
      <c r="C15" s="18"/>
      <c r="D15" s="18"/>
      <c r="E15" s="18"/>
    </row>
    <row r="16" spans="1:5" x14ac:dyDescent="0.35">
      <c r="A16" s="16" t="s">
        <v>98</v>
      </c>
      <c r="B16" s="16" t="s">
        <v>4</v>
      </c>
      <c r="C16" s="18"/>
      <c r="D16" s="18"/>
      <c r="E16" s="18"/>
    </row>
    <row r="17" spans="1:5" x14ac:dyDescent="0.35">
      <c r="A17" s="16" t="s">
        <v>98</v>
      </c>
      <c r="B17" s="16" t="s">
        <v>78</v>
      </c>
      <c r="C17" s="18"/>
      <c r="D17" s="18"/>
      <c r="E17" s="18"/>
    </row>
    <row r="18" spans="1:5" x14ac:dyDescent="0.35">
      <c r="A18" s="16" t="s">
        <v>98</v>
      </c>
      <c r="B18" s="16" t="s">
        <v>85</v>
      </c>
      <c r="C18" s="18"/>
      <c r="D18" s="18"/>
      <c r="E18" s="18"/>
    </row>
    <row r="19" spans="1:5" x14ac:dyDescent="0.35">
      <c r="A19" s="16" t="s">
        <v>98</v>
      </c>
      <c r="B19" s="16" t="s">
        <v>77</v>
      </c>
      <c r="C19" s="18"/>
      <c r="D19" s="18"/>
      <c r="E19" s="18"/>
    </row>
    <row r="20" spans="1:5" x14ac:dyDescent="0.35">
      <c r="A20" s="16" t="s">
        <v>98</v>
      </c>
      <c r="B20" s="16" t="s">
        <v>69</v>
      </c>
      <c r="C20" s="18"/>
      <c r="D20" s="18"/>
      <c r="E20" s="18"/>
    </row>
    <row r="21" spans="1:5" x14ac:dyDescent="0.35">
      <c r="A21" s="16" t="s">
        <v>98</v>
      </c>
      <c r="B21" s="16" t="s">
        <v>108</v>
      </c>
      <c r="C21" s="18"/>
      <c r="D21" s="18"/>
      <c r="E21" s="18"/>
    </row>
    <row r="22" spans="1:5" x14ac:dyDescent="0.35">
      <c r="A22" s="16" t="s">
        <v>98</v>
      </c>
      <c r="B22" s="16" t="s">
        <v>151</v>
      </c>
      <c r="C22" s="18"/>
      <c r="D22" s="18"/>
      <c r="E22" s="18"/>
    </row>
    <row r="23" spans="1:5" x14ac:dyDescent="0.35">
      <c r="A23" s="26" t="s">
        <v>109</v>
      </c>
      <c r="B23" s="26" t="s">
        <v>110</v>
      </c>
      <c r="C23" s="27"/>
      <c r="D23" s="27"/>
      <c r="E23" s="2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21B8-2FB6-4437-8876-7688F9214EA7}">
  <sheetPr codeName="Planilha7"/>
  <dimension ref="A1:F11"/>
  <sheetViews>
    <sheetView showGridLines="0" workbookViewId="0">
      <selection activeCell="F12" sqref="F12"/>
    </sheetView>
  </sheetViews>
  <sheetFormatPr defaultRowHeight="14.5" x14ac:dyDescent="0.35"/>
  <cols>
    <col min="1" max="1" width="19.54296875" customWidth="1"/>
    <col min="2" max="2" width="18.81640625" customWidth="1"/>
    <col min="3" max="3" width="22" customWidth="1"/>
    <col min="4" max="5" width="23.26953125" bestFit="1" customWidth="1"/>
    <col min="6" max="6" width="20.81640625" customWidth="1"/>
  </cols>
  <sheetData>
    <row r="1" spans="1:6" x14ac:dyDescent="0.35">
      <c r="A1" s="70" t="s">
        <v>116</v>
      </c>
      <c r="B1" s="70" t="s">
        <v>117</v>
      </c>
      <c r="C1" s="70" t="s">
        <v>118</v>
      </c>
      <c r="D1" s="70" t="s">
        <v>130</v>
      </c>
      <c r="E1" s="70" t="s">
        <v>131</v>
      </c>
      <c r="F1" s="70" t="s">
        <v>119</v>
      </c>
    </row>
    <row r="2" spans="1:6" x14ac:dyDescent="0.35">
      <c r="A2" s="16" t="s">
        <v>120</v>
      </c>
      <c r="B2" s="16" t="s">
        <v>121</v>
      </c>
      <c r="C2" s="18" t="s">
        <v>120</v>
      </c>
      <c r="D2" s="68">
        <v>0.99</v>
      </c>
      <c r="E2" s="68">
        <v>0.99199999999999999</v>
      </c>
      <c r="F2" s="18">
        <v>0.7</v>
      </c>
    </row>
    <row r="3" spans="1:6" x14ac:dyDescent="0.35">
      <c r="A3" s="16" t="s">
        <v>122</v>
      </c>
      <c r="B3" s="16" t="s">
        <v>1</v>
      </c>
      <c r="C3" s="18" t="s">
        <v>122</v>
      </c>
      <c r="D3" s="68">
        <v>4.4999999999999998E-2</v>
      </c>
      <c r="E3" s="68">
        <v>7.2999999999999995E-2</v>
      </c>
      <c r="F3" s="18">
        <v>0.46700000000000003</v>
      </c>
    </row>
    <row r="4" spans="1:6" x14ac:dyDescent="0.35">
      <c r="A4" s="16" t="s">
        <v>3</v>
      </c>
      <c r="B4" s="16" t="s">
        <v>123</v>
      </c>
      <c r="C4" s="18" t="s">
        <v>3</v>
      </c>
      <c r="D4" s="68">
        <v>0.68</v>
      </c>
      <c r="E4" s="68">
        <v>0.74</v>
      </c>
      <c r="F4" s="18">
        <v>0.77400000000000002</v>
      </c>
    </row>
    <row r="5" spans="1:6" x14ac:dyDescent="0.35">
      <c r="A5" s="16" t="s">
        <v>5</v>
      </c>
      <c r="B5" s="16" t="s">
        <v>124</v>
      </c>
      <c r="C5" s="18" t="s">
        <v>5</v>
      </c>
      <c r="D5" s="68">
        <v>0.9</v>
      </c>
      <c r="E5" s="68">
        <v>0.9</v>
      </c>
      <c r="F5" s="18">
        <v>0.436</v>
      </c>
    </row>
    <row r="6" spans="1:6" x14ac:dyDescent="0.35">
      <c r="A6" s="16" t="s">
        <v>125</v>
      </c>
      <c r="B6" s="16" t="s">
        <v>126</v>
      </c>
      <c r="C6" s="18" t="s">
        <v>127</v>
      </c>
      <c r="D6" s="68">
        <v>0</v>
      </c>
      <c r="E6" s="68">
        <v>0</v>
      </c>
      <c r="F6" s="18">
        <v>0</v>
      </c>
    </row>
    <row r="7" spans="1:6" x14ac:dyDescent="0.35">
      <c r="A7" s="16" t="s">
        <v>128</v>
      </c>
      <c r="B7" s="16" t="s">
        <v>0</v>
      </c>
      <c r="C7" s="18" t="s">
        <v>127</v>
      </c>
      <c r="D7" s="68">
        <v>0</v>
      </c>
      <c r="E7" s="68">
        <v>0</v>
      </c>
      <c r="F7" s="18">
        <v>0</v>
      </c>
    </row>
    <row r="8" spans="1:6" x14ac:dyDescent="0.35">
      <c r="A8" s="26" t="s">
        <v>129</v>
      </c>
      <c r="B8" s="26" t="s">
        <v>2</v>
      </c>
      <c r="C8" s="27" t="s">
        <v>127</v>
      </c>
      <c r="D8" s="69">
        <v>0</v>
      </c>
      <c r="E8" s="69">
        <v>0</v>
      </c>
      <c r="F8" s="27">
        <v>0</v>
      </c>
    </row>
    <row r="10" spans="1:6" x14ac:dyDescent="0.35">
      <c r="D10" s="219"/>
    </row>
    <row r="11" spans="1:6" x14ac:dyDescent="0.35">
      <c r="D11" s="21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4639-6451-435B-B258-F6F6E5093CCC}">
  <dimension ref="A1:E11"/>
  <sheetViews>
    <sheetView showGridLines="0" workbookViewId="0">
      <selection activeCell="G14" sqref="G14"/>
    </sheetView>
  </sheetViews>
  <sheetFormatPr defaultRowHeight="14.5" x14ac:dyDescent="0.35"/>
  <cols>
    <col min="1" max="1" width="21.26953125" customWidth="1"/>
    <col min="2" max="2" width="9.36328125" customWidth="1"/>
    <col min="4" max="4" width="9.08984375" bestFit="1" customWidth="1"/>
    <col min="5" max="5" width="10" customWidth="1"/>
  </cols>
  <sheetData>
    <row r="1" spans="1:5" x14ac:dyDescent="0.35">
      <c r="A1" s="28" t="s">
        <v>45</v>
      </c>
      <c r="B1" s="28" t="s">
        <v>46</v>
      </c>
      <c r="C1" s="28" t="s">
        <v>47</v>
      </c>
      <c r="D1" s="28" t="s">
        <v>68</v>
      </c>
      <c r="E1" s="28" t="s">
        <v>48</v>
      </c>
    </row>
    <row r="2" spans="1:5" ht="14.5" customHeight="1" x14ac:dyDescent="0.35">
      <c r="A2" s="16" t="s">
        <v>195</v>
      </c>
      <c r="B2" s="16"/>
      <c r="C2" s="16"/>
      <c r="D2" s="68">
        <v>-1.5</v>
      </c>
      <c r="E2" s="18" t="s">
        <v>203</v>
      </c>
    </row>
    <row r="3" spans="1:5" ht="14.5" customHeight="1" x14ac:dyDescent="0.35">
      <c r="A3" s="16" t="s">
        <v>197</v>
      </c>
      <c r="B3" s="16"/>
      <c r="C3" s="16"/>
      <c r="D3" s="68">
        <v>2</v>
      </c>
      <c r="E3" s="18" t="s">
        <v>203</v>
      </c>
    </row>
    <row r="4" spans="1:5" ht="14.5" customHeight="1" x14ac:dyDescent="0.35">
      <c r="A4" s="16" t="s">
        <v>198</v>
      </c>
      <c r="B4" s="16"/>
      <c r="C4" s="16"/>
      <c r="D4" s="68">
        <v>0</v>
      </c>
      <c r="E4" s="18" t="s">
        <v>203</v>
      </c>
    </row>
    <row r="5" spans="1:5" ht="14.5" customHeight="1" x14ac:dyDescent="0.35">
      <c r="A5" s="16" t="s">
        <v>199</v>
      </c>
      <c r="B5" s="16"/>
      <c r="C5" s="16"/>
      <c r="D5" s="68">
        <v>0</v>
      </c>
      <c r="E5" s="18" t="s">
        <v>203</v>
      </c>
    </row>
    <row r="6" spans="1:5" ht="14.5" customHeight="1" x14ac:dyDescent="0.35">
      <c r="A6" s="16" t="s">
        <v>200</v>
      </c>
      <c r="B6" s="16"/>
      <c r="C6" s="16"/>
      <c r="D6" s="68">
        <v>0</v>
      </c>
      <c r="E6" s="18" t="s">
        <v>203</v>
      </c>
    </row>
    <row r="7" spans="1:5" ht="14.5" customHeight="1" x14ac:dyDescent="0.35">
      <c r="A7" s="16" t="s">
        <v>201</v>
      </c>
      <c r="B7" s="16"/>
      <c r="C7" s="16"/>
      <c r="D7" s="68">
        <v>0</v>
      </c>
      <c r="E7" s="18" t="s">
        <v>203</v>
      </c>
    </row>
    <row r="8" spans="1:5" ht="14.5" customHeight="1" x14ac:dyDescent="0.35">
      <c r="A8" s="16" t="s">
        <v>202</v>
      </c>
      <c r="B8" s="16"/>
      <c r="C8" s="16"/>
      <c r="D8" s="68">
        <v>0</v>
      </c>
      <c r="E8" s="18" t="s">
        <v>203</v>
      </c>
    </row>
    <row r="9" spans="1:5" ht="14.5" customHeight="1" x14ac:dyDescent="0.35">
      <c r="A9" s="26" t="s">
        <v>204</v>
      </c>
      <c r="B9" s="26"/>
      <c r="C9" s="26"/>
      <c r="D9" s="69">
        <v>0.5</v>
      </c>
      <c r="E9" s="27" t="s">
        <v>203</v>
      </c>
    </row>
    <row r="10" spans="1:5" ht="14.5" customHeight="1" x14ac:dyDescent="0.35"/>
    <row r="11" spans="1:5" ht="14.5" customHeight="1" x14ac:dyDescent="0.35"/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MATERIAS_PRIMAS</vt:lpstr>
      <vt:lpstr>PERFORMANCE</vt:lpstr>
      <vt:lpstr>PROCESSO_MS</vt:lpstr>
      <vt:lpstr>PROCESSO_AF</vt:lpstr>
      <vt:lpstr>KPIS_MS</vt:lpstr>
      <vt:lpstr>KPIS_AF</vt:lpstr>
      <vt:lpstr>ALFAS_GUSA_AF</vt:lpstr>
      <vt:lpstr>CALIBRACAO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Caldas Gomes</dc:creator>
  <cp:lastModifiedBy>Victor Caldas Gomes</cp:lastModifiedBy>
  <dcterms:created xsi:type="dcterms:W3CDTF">2025-12-08T01:11:28Z</dcterms:created>
  <dcterms:modified xsi:type="dcterms:W3CDTF">2026-05-26T16:13:42Z</dcterms:modified>
</cp:coreProperties>
</file>